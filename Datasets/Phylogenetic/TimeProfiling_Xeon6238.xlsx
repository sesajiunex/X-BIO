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Google Drive\Dropbox_2018\PostDoctorado\Docencia\TFGS\TFG_Aitor\"/>
    </mc:Choice>
  </mc:AlternateContent>
  <xr:revisionPtr revIDLastSave="0" documentId="13_ncr:1_{A136221A-F654-4F6B-AC2C-1AB6936F8FC9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Tiempos_cluster" sheetId="1" r:id="rId1"/>
    <sheet name="Paralelismo_grueso_cluster_88" sheetId="2" r:id="rId2"/>
    <sheet name="Paralelismo_fino_cluster_88" sheetId="3" r:id="rId3"/>
    <sheet name="Vectorizacion_cluster_AVX512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H19" i="4"/>
  <c r="G19" i="4"/>
  <c r="H18" i="4"/>
  <c r="G18" i="4"/>
  <c r="I18" i="4" s="1"/>
  <c r="J18" i="4" s="1"/>
  <c r="H17" i="4"/>
  <c r="G17" i="4"/>
  <c r="H14" i="4"/>
  <c r="G14" i="4"/>
  <c r="H13" i="4"/>
  <c r="G13" i="4"/>
  <c r="H12" i="4"/>
  <c r="G12" i="4"/>
  <c r="H9" i="4"/>
  <c r="G9" i="4"/>
  <c r="I8" i="4"/>
  <c r="J8" i="4" s="1"/>
  <c r="H8" i="4"/>
  <c r="G8" i="4"/>
  <c r="H7" i="4"/>
  <c r="G7" i="4"/>
  <c r="H4" i="4"/>
  <c r="G4" i="4"/>
  <c r="H3" i="4"/>
  <c r="G3" i="4"/>
  <c r="H2" i="4"/>
  <c r="G2" i="4"/>
  <c r="L20" i="3"/>
  <c r="H19" i="3"/>
  <c r="G19" i="3"/>
  <c r="H18" i="3"/>
  <c r="G18" i="3"/>
  <c r="H17" i="3"/>
  <c r="G17" i="3"/>
  <c r="I14" i="3"/>
  <c r="J14" i="3" s="1"/>
  <c r="H14" i="3"/>
  <c r="G14" i="3"/>
  <c r="H13" i="3"/>
  <c r="G13" i="3"/>
  <c r="H12" i="3"/>
  <c r="G12" i="3"/>
  <c r="H9" i="3"/>
  <c r="G9" i="3"/>
  <c r="I8" i="3"/>
  <c r="J8" i="3" s="1"/>
  <c r="H8" i="3"/>
  <c r="G8" i="3"/>
  <c r="H7" i="3"/>
  <c r="G7" i="3"/>
  <c r="H4" i="3"/>
  <c r="G4" i="3"/>
  <c r="H3" i="3"/>
  <c r="G3" i="3"/>
  <c r="H2" i="3"/>
  <c r="G2" i="3"/>
  <c r="L20" i="2"/>
  <c r="H19" i="2"/>
  <c r="G19" i="2"/>
  <c r="I19" i="2" s="1"/>
  <c r="J19" i="2" s="1"/>
  <c r="I18" i="2"/>
  <c r="J18" i="2" s="1"/>
  <c r="H18" i="2"/>
  <c r="G18" i="2"/>
  <c r="H17" i="2"/>
  <c r="G17" i="2"/>
  <c r="I14" i="2"/>
  <c r="J14" i="2" s="1"/>
  <c r="H14" i="2"/>
  <c r="G14" i="2"/>
  <c r="H13" i="2"/>
  <c r="G13" i="2"/>
  <c r="H12" i="2"/>
  <c r="G12" i="2"/>
  <c r="I9" i="2"/>
  <c r="J9" i="2" s="1"/>
  <c r="H9" i="2"/>
  <c r="G9" i="2"/>
  <c r="H8" i="2"/>
  <c r="G8" i="2"/>
  <c r="H7" i="2"/>
  <c r="G7" i="2"/>
  <c r="I7" i="2" s="1"/>
  <c r="H4" i="2"/>
  <c r="G4" i="2"/>
  <c r="H3" i="2"/>
  <c r="G3" i="2"/>
  <c r="H2" i="2"/>
  <c r="G2" i="2"/>
  <c r="H19" i="1"/>
  <c r="G19" i="1"/>
  <c r="I19" i="3" s="1"/>
  <c r="J19" i="3" s="1"/>
  <c r="H18" i="1"/>
  <c r="G18" i="1"/>
  <c r="I18" i="3" s="1"/>
  <c r="J18" i="3" s="1"/>
  <c r="H17" i="1"/>
  <c r="G17" i="1"/>
  <c r="I17" i="2" s="1"/>
  <c r="H14" i="1"/>
  <c r="G14" i="1"/>
  <c r="I14" i="4" s="1"/>
  <c r="J14" i="4" s="1"/>
  <c r="H13" i="1"/>
  <c r="G13" i="1"/>
  <c r="I13" i="2" s="1"/>
  <c r="J13" i="2" s="1"/>
  <c r="H12" i="1"/>
  <c r="G12" i="1"/>
  <c r="I12" i="4" s="1"/>
  <c r="H9" i="1"/>
  <c r="G9" i="1"/>
  <c r="I9" i="3" s="1"/>
  <c r="J9" i="3" s="1"/>
  <c r="H8" i="1"/>
  <c r="G8" i="1"/>
  <c r="I8" i="2" s="1"/>
  <c r="J8" i="2" s="1"/>
  <c r="H7" i="1"/>
  <c r="G7" i="1"/>
  <c r="I7" i="3" s="1"/>
  <c r="H4" i="1"/>
  <c r="G4" i="1"/>
  <c r="I4" i="2" s="1"/>
  <c r="J4" i="2" s="1"/>
  <c r="H3" i="1"/>
  <c r="G3" i="1"/>
  <c r="I3" i="4" s="1"/>
  <c r="J3" i="4" s="1"/>
  <c r="H2" i="1"/>
  <c r="G2" i="1"/>
  <c r="I2" i="4" s="1"/>
  <c r="J12" i="4" l="1"/>
  <c r="J7" i="2"/>
  <c r="J10" i="2" s="1"/>
  <c r="I10" i="2"/>
  <c r="J2" i="4"/>
  <c r="I10" i="3"/>
  <c r="J7" i="3"/>
  <c r="J10" i="3" s="1"/>
  <c r="J17" i="2"/>
  <c r="J20" i="2" s="1"/>
  <c r="I20" i="2"/>
  <c r="I2" i="3"/>
  <c r="I17" i="4"/>
  <c r="I3" i="3"/>
  <c r="J3" i="3" s="1"/>
  <c r="I12" i="3"/>
  <c r="I17" i="3"/>
  <c r="I3" i="2"/>
  <c r="J3" i="2" s="1"/>
  <c r="I4" i="3"/>
  <c r="J4" i="3" s="1"/>
  <c r="I13" i="3"/>
  <c r="J13" i="3" s="1"/>
  <c r="I2" i="2"/>
  <c r="I9" i="4"/>
  <c r="J9" i="4" s="1"/>
  <c r="I4" i="4"/>
  <c r="J4" i="4" s="1"/>
  <c r="I13" i="4"/>
  <c r="J13" i="4" s="1"/>
  <c r="I12" i="2"/>
  <c r="I7" i="4"/>
  <c r="I19" i="4"/>
  <c r="J19" i="4" s="1"/>
  <c r="J12" i="2" l="1"/>
  <c r="J15" i="2" s="1"/>
  <c r="I15" i="2"/>
  <c r="I5" i="4"/>
  <c r="J7" i="4"/>
  <c r="J10" i="4" s="1"/>
  <c r="I10" i="4"/>
  <c r="I20" i="4"/>
  <c r="J17" i="4"/>
  <c r="J20" i="4" s="1"/>
  <c r="J5" i="4"/>
  <c r="J2" i="3"/>
  <c r="J5" i="3" s="1"/>
  <c r="I5" i="3"/>
  <c r="I5" i="2"/>
  <c r="J2" i="2"/>
  <c r="J5" i="2" s="1"/>
  <c r="I15" i="3"/>
  <c r="J12" i="3"/>
  <c r="J15" i="3" s="1"/>
  <c r="I15" i="4"/>
  <c r="J17" i="3"/>
  <c r="J20" i="3" s="1"/>
  <c r="I20" i="3"/>
  <c r="J15" i="4"/>
</calcChain>
</file>

<file path=xl/sharedStrings.xml><?xml version="1.0" encoding="utf-8"?>
<sst xmlns="http://schemas.openxmlformats.org/spreadsheetml/2006/main" count="175" uniqueCount="28">
  <si>
    <t>salmonella</t>
  </si>
  <si>
    <t>Repetición 1</t>
  </si>
  <si>
    <t>Repetición 2</t>
  </si>
  <si>
    <t>Repetición 3</t>
  </si>
  <si>
    <t>Repetición 4</t>
  </si>
  <si>
    <t>Repetición 5</t>
  </si>
  <si>
    <t>MEDIANA</t>
  </si>
  <si>
    <t>COEF. VAR.</t>
  </si>
  <si>
    <t>neotrop</t>
  </si>
  <si>
    <t>bv</t>
  </si>
  <si>
    <t>tara</t>
  </si>
  <si>
    <t>ACELERACIÓN</t>
  </si>
  <si>
    <t>EFICIENCIA</t>
  </si>
  <si>
    <t>Nº CORES</t>
  </si>
  <si>
    <t>N.º VEC</t>
  </si>
  <si>
    <t>Parsimonia</t>
  </si>
  <si>
    <t>Profundidad (Depth)</t>
  </si>
  <si>
    <t>Nivel hoja + cercana</t>
  </si>
  <si>
    <t>Nivel hoja + lejana</t>
  </si>
  <si>
    <t>Diferencia hojas</t>
  </si>
  <si>
    <t>avgLeafDepI</t>
  </si>
  <si>
    <t>average leaf depth index</t>
  </si>
  <si>
    <t>B2I</t>
  </si>
  <si>
    <t>maxDelW</t>
  </si>
  <si>
    <t>(modified) maximum difference in widths</t>
  </si>
  <si>
    <t>Maxima Anchura (Width)</t>
  </si>
  <si>
    <t>mWovermD</t>
  </si>
  <si>
    <t>maximum width over maximum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</si>
</sst>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 %"/>
    <numFmt numFmtId="165" formatCode="0.000000"/>
    <numFmt numFmtId="166" formatCode="0.0000"/>
  </numFmts>
  <fonts count="9" x14ac:knownFonts="1">
    <font>
      <sz val="11"/>
      <color rgb="FF000000"/>
      <name val="Calibri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2" fontId="4" fillId="0" borderId="0" xfId="0" applyNumberFormat="1" applyFont="1"/>
    <xf numFmtId="2" fontId="2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  <xf numFmtId="2" fontId="5" fillId="0" borderId="0" xfId="0" applyNumberFormat="1" applyFont="1"/>
    <xf numFmtId="165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0" fontId="6" fillId="0" borderId="0" xfId="0" applyFont="1"/>
    <xf numFmtId="1" fontId="4" fillId="0" borderId="0" xfId="0" applyNumberFormat="1" applyFont="1"/>
    <xf numFmtId="1" fontId="0" fillId="0" borderId="0" xfId="0" applyNumberFormat="1"/>
    <xf numFmtId="166" fontId="0" fillId="0" borderId="0" xfId="0" applyNumberFormat="1"/>
    <xf numFmtId="0" fontId="6" fillId="3" borderId="0" xfId="0" applyFont="1" applyFill="1"/>
    <xf numFmtId="0" fontId="7" fillId="0" borderId="0" xfId="0" applyFont="1"/>
    <xf numFmtId="1" fontId="8" fillId="0" borderId="0" xfId="0" applyNumberFormat="1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Normal="100" workbookViewId="0">
      <selection activeCell="I20" sqref="I20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4">
        <v>5</v>
      </c>
      <c r="B2" s="5">
        <v>3.0640000000000001</v>
      </c>
      <c r="C2" s="5">
        <v>3.0620590000000001</v>
      </c>
      <c r="D2" s="5">
        <v>3.0676329999999998</v>
      </c>
      <c r="E2" s="5">
        <v>3.061353</v>
      </c>
      <c r="F2" s="5">
        <v>3.0586199999999999</v>
      </c>
      <c r="G2" s="6">
        <f>MEDIAN(B2:F2)</f>
        <v>3.0620590000000001</v>
      </c>
      <c r="H2" s="7">
        <f>STDEV(B2:F2)/AVERAGE(B2:F2)</f>
        <v>1.0938032756847298E-3</v>
      </c>
    </row>
    <row r="3" spans="1:8" x14ac:dyDescent="0.25">
      <c r="A3" s="4">
        <v>50</v>
      </c>
      <c r="B3" s="5">
        <v>30.211300000000001</v>
      </c>
      <c r="C3" s="5">
        <v>30.202127999999998</v>
      </c>
      <c r="D3" s="5">
        <v>30.225158</v>
      </c>
      <c r="E3" s="5">
        <v>30.213450000000002</v>
      </c>
      <c r="F3" s="5">
        <v>30.199705000000002</v>
      </c>
      <c r="G3" s="6">
        <f>MEDIAN(B3:F3)</f>
        <v>30.211300000000001</v>
      </c>
      <c r="H3" s="7">
        <f>STDEV(B3:F3)/AVERAGE(B3:F3)</f>
        <v>3.3541319568177602E-4</v>
      </c>
    </row>
    <row r="4" spans="1:8" x14ac:dyDescent="0.25">
      <c r="A4" s="4">
        <v>100</v>
      </c>
      <c r="B4" s="5">
        <v>60.468601</v>
      </c>
      <c r="C4" s="5">
        <v>60.520574000000003</v>
      </c>
      <c r="D4" s="5">
        <v>60.450386999999999</v>
      </c>
      <c r="E4" s="5">
        <v>60.427867999999997</v>
      </c>
      <c r="F4" s="5">
        <v>60.426512000000002</v>
      </c>
      <c r="G4" s="6">
        <f>MEDIAN(B4:F4)</f>
        <v>60.450386999999999</v>
      </c>
      <c r="H4" s="7">
        <f>STDEV(B4:F4)/AVERAGE(B4:F4)</f>
        <v>6.3964627119052978E-4</v>
      </c>
    </row>
    <row r="5" spans="1:8" x14ac:dyDescent="0.25">
      <c r="B5" s="8"/>
    </row>
    <row r="6" spans="1:8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</row>
    <row r="7" spans="1:8" x14ac:dyDescent="0.25">
      <c r="A7" s="4">
        <v>100</v>
      </c>
      <c r="B7" s="9">
        <v>41.761681000000003</v>
      </c>
      <c r="C7" s="9">
        <v>41.696010999999999</v>
      </c>
      <c r="D7" s="9">
        <v>41.697294999999997</v>
      </c>
      <c r="E7" s="9">
        <v>41.667245000000001</v>
      </c>
      <c r="F7" s="9">
        <v>41.673046999999997</v>
      </c>
      <c r="G7" s="6">
        <f>MEDIAN(B7:F7)</f>
        <v>41.696010999999999</v>
      </c>
      <c r="H7" s="7">
        <f>STDEV(B7:F7)/AVERAGE(B7:F7)</f>
        <v>8.9911478937226364E-4</v>
      </c>
    </row>
    <row r="8" spans="1:8" x14ac:dyDescent="0.25">
      <c r="A8" s="4">
        <v>1000</v>
      </c>
      <c r="B8" s="9">
        <v>417.08615600000002</v>
      </c>
      <c r="C8" s="9">
        <v>417.04891600000002</v>
      </c>
      <c r="D8" s="9">
        <v>417.44131800000002</v>
      </c>
      <c r="E8" s="9">
        <v>417.011977</v>
      </c>
      <c r="F8" s="9">
        <v>417.32221800000002</v>
      </c>
      <c r="G8" s="6">
        <f>MEDIAN(B8:F8)</f>
        <v>417.08615600000002</v>
      </c>
      <c r="H8" s="7">
        <f>STDEV(B8:F8)/AVERAGE(B8:F8)</f>
        <v>4.5276693259959489E-4</v>
      </c>
    </row>
    <row r="9" spans="1:8" x14ac:dyDescent="0.25">
      <c r="A9" s="4">
        <v>10000</v>
      </c>
      <c r="B9" s="9">
        <v>4171.7624660000001</v>
      </c>
      <c r="C9" s="9">
        <v>4175.127289</v>
      </c>
      <c r="D9" s="9">
        <v>4171.6145900000001</v>
      </c>
      <c r="E9" s="9">
        <v>4171.2179230000002</v>
      </c>
      <c r="F9" s="9">
        <v>4175.5522950000004</v>
      </c>
      <c r="G9" s="6">
        <f>MEDIAN(B9:F9)</f>
        <v>4171.7624660000001</v>
      </c>
      <c r="H9" s="7">
        <f>STDEV(B9:F9)/AVERAGE(B9:F9)</f>
        <v>5.0338734897558996E-4</v>
      </c>
    </row>
    <row r="10" spans="1:8" x14ac:dyDescent="0.25">
      <c r="G10" s="10"/>
    </row>
    <row r="11" spans="1:8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</row>
    <row r="12" spans="1:8" x14ac:dyDescent="0.25">
      <c r="A12" s="4">
        <v>150</v>
      </c>
      <c r="B12" s="5">
        <v>51.656559999999999</v>
      </c>
      <c r="C12" s="5">
        <v>51.625540000000001</v>
      </c>
      <c r="D12" s="5">
        <v>51.631799999999998</v>
      </c>
      <c r="E12" s="5">
        <v>51.620975000000001</v>
      </c>
      <c r="F12" s="5">
        <v>51.642943000000002</v>
      </c>
      <c r="G12" s="6">
        <f>MEDIAN(B12:F12)</f>
        <v>51.631799999999998</v>
      </c>
      <c r="H12" s="7">
        <f>STDEV(B12:F12)/AVERAGE(B12:F12)</f>
        <v>2.7775379590759807E-4</v>
      </c>
    </row>
    <row r="13" spans="1:8" x14ac:dyDescent="0.25">
      <c r="A13" s="4">
        <v>1500</v>
      </c>
      <c r="B13" s="5">
        <v>516.75385500000004</v>
      </c>
      <c r="C13" s="5">
        <v>516.25261399999999</v>
      </c>
      <c r="D13" s="5">
        <v>516.51396799999998</v>
      </c>
      <c r="E13" s="5">
        <v>516.28905899999995</v>
      </c>
      <c r="F13" s="5">
        <v>516.37170600000002</v>
      </c>
      <c r="G13" s="6">
        <f>MEDIAN(B13:F13)</f>
        <v>516.37170600000002</v>
      </c>
      <c r="H13" s="7">
        <f>STDEV(B13:F13)/AVERAGE(B13:F13)</f>
        <v>3.9501763592715317E-4</v>
      </c>
    </row>
    <row r="14" spans="1:8" x14ac:dyDescent="0.25">
      <c r="A14" s="4">
        <v>15000</v>
      </c>
      <c r="B14" s="5">
        <v>5184.2931140000001</v>
      </c>
      <c r="C14" s="5">
        <v>5180.8818659999997</v>
      </c>
      <c r="D14" s="5">
        <v>5184.21047</v>
      </c>
      <c r="E14" s="5">
        <v>5185.0981140000004</v>
      </c>
      <c r="F14" s="5">
        <v>5185.8313120000003</v>
      </c>
      <c r="G14" s="6">
        <f>MEDIAN(B14:F14)</f>
        <v>5184.2931140000001</v>
      </c>
      <c r="H14" s="7">
        <f>STDEV(B14:F14)/AVERAGE(B14:F14)</f>
        <v>3.6590715167797509E-4</v>
      </c>
    </row>
    <row r="16" spans="1:8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</row>
    <row r="17" spans="1:8" x14ac:dyDescent="0.25">
      <c r="A17" s="4">
        <v>100</v>
      </c>
      <c r="B17" s="5">
        <v>376.99318399999999</v>
      </c>
      <c r="C17" s="5">
        <v>376.68743599999999</v>
      </c>
      <c r="D17" s="5">
        <v>376.67173200000002</v>
      </c>
      <c r="E17" s="5">
        <v>376.65239000000003</v>
      </c>
      <c r="F17" s="5">
        <v>376.84742699999998</v>
      </c>
      <c r="G17" s="6">
        <f>MEDIAN(B17:F17)</f>
        <v>376.68743599999999</v>
      </c>
      <c r="H17" s="7">
        <f>STDEV(B17:F17)/AVERAGE(B17:F17)</f>
        <v>3.8942296181118376E-4</v>
      </c>
    </row>
    <row r="18" spans="1:8" x14ac:dyDescent="0.25">
      <c r="A18" s="4">
        <v>1000</v>
      </c>
      <c r="B18" s="5">
        <v>3767.0808040000002</v>
      </c>
      <c r="C18" s="5">
        <v>3768.4859580000002</v>
      </c>
      <c r="D18" s="5">
        <v>3767.708725</v>
      </c>
      <c r="E18" s="5">
        <v>3765.6948349999998</v>
      </c>
      <c r="F18" s="5">
        <v>3769.7754450000002</v>
      </c>
      <c r="G18" s="6">
        <f>MEDIAN(B18:F18)</f>
        <v>3767.708725</v>
      </c>
      <c r="H18" s="7">
        <f>STDEV(B18:F18)/AVERAGE(B18:F18)</f>
        <v>4.050725243185187E-4</v>
      </c>
    </row>
    <row r="19" spans="1:8" x14ac:dyDescent="0.25">
      <c r="A19" s="4">
        <v>10000</v>
      </c>
      <c r="B19" s="5">
        <v>37665.550346000004</v>
      </c>
      <c r="C19" s="5">
        <v>37665.672014999996</v>
      </c>
      <c r="D19" s="5">
        <v>37676.764814000002</v>
      </c>
      <c r="E19" s="5">
        <v>37662.623182000003</v>
      </c>
      <c r="F19" s="5">
        <v>37663.180574999998</v>
      </c>
      <c r="G19" s="6">
        <f>MEDIAN(B19:F19)</f>
        <v>37665.550346000004</v>
      </c>
      <c r="H19" s="7">
        <f>STDEV(B19:F19)/AVERAGE(B19:F19)</f>
        <v>1.5289601731173635E-4</v>
      </c>
    </row>
  </sheetData>
  <conditionalFormatting sqref="H2:H4">
    <cfRule type="cellIs" dxfId="11" priority="2" operator="greaterThan">
      <formula>0.1</formula>
    </cfRule>
  </conditionalFormatting>
  <conditionalFormatting sqref="H7:H10 H12:H15">
    <cfRule type="cellIs" dxfId="10" priority="3" operator="greaterThan">
      <formula>0.1</formula>
    </cfRule>
  </conditionalFormatting>
  <conditionalFormatting sqref="H17:H19">
    <cfRule type="cellIs" dxfId="9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zoomScaleNormal="100" workbookViewId="0">
      <selection activeCell="M21" sqref="M21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  <col min="9" max="9" width="16.42578125" customWidth="1"/>
    <col min="10" max="10" width="12.85546875" customWidth="1"/>
    <col min="11" max="11" width="11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11</v>
      </c>
      <c r="J1" s="3" t="s">
        <v>12</v>
      </c>
    </row>
    <row r="2" spans="1:10" x14ac:dyDescent="0.25">
      <c r="A2" s="4">
        <v>5</v>
      </c>
      <c r="B2" s="5">
        <v>0.63141400000000003</v>
      </c>
      <c r="C2" s="5">
        <v>0.71150500000000005</v>
      </c>
      <c r="D2" s="5">
        <v>0.70949499999999999</v>
      </c>
      <c r="E2" s="5">
        <v>0.70731299999999997</v>
      </c>
      <c r="F2" s="5">
        <v>0.726572</v>
      </c>
      <c r="G2" s="6">
        <f>MEDIAN(B2:F2)</f>
        <v>0.70949499999999999</v>
      </c>
      <c r="H2" s="7">
        <f>STDEV(B2:F2)/AVERAGE(B2:F2)</f>
        <v>5.3894509552621948E-2</v>
      </c>
      <c r="I2" s="11">
        <f>Tiempos_cluster!G2/G2</f>
        <v>4.3158288641921372</v>
      </c>
      <c r="J2" s="7">
        <f>(I2/L20)</f>
        <v>4.9043509820365198E-2</v>
      </c>
    </row>
    <row r="3" spans="1:10" x14ac:dyDescent="0.25">
      <c r="A3" s="4">
        <v>50</v>
      </c>
      <c r="B3" s="5">
        <v>0.82773200000000002</v>
      </c>
      <c r="C3" s="5">
        <v>0.82659899999999997</v>
      </c>
      <c r="D3" s="5">
        <v>0.76263300000000001</v>
      </c>
      <c r="E3" s="5">
        <v>0.82849300000000003</v>
      </c>
      <c r="F3" s="5">
        <v>0.81462699999999999</v>
      </c>
      <c r="G3" s="6">
        <f>MEDIAN(B3:F3)</f>
        <v>0.82659899999999997</v>
      </c>
      <c r="H3" s="7">
        <f>STDEV(B3:F3)/AVERAGE(B3:F3)</f>
        <v>3.4704788780442669E-2</v>
      </c>
      <c r="I3" s="11">
        <f>Tiempos_cluster!G3/G3</f>
        <v>36.548919125234853</v>
      </c>
      <c r="J3" s="7">
        <f>(I3/L20)</f>
        <v>0.41532862642312335</v>
      </c>
    </row>
    <row r="4" spans="1:10" x14ac:dyDescent="0.25">
      <c r="A4" s="4">
        <v>100</v>
      </c>
      <c r="B4" s="5">
        <v>1.4558180000000001</v>
      </c>
      <c r="C4" s="5">
        <v>1.4610050000000001</v>
      </c>
      <c r="D4" s="5">
        <v>1.4590749999999999</v>
      </c>
      <c r="E4" s="5">
        <v>1.4558040000000001</v>
      </c>
      <c r="F4" s="5">
        <v>1.5018819999999999</v>
      </c>
      <c r="G4" s="6">
        <f>MEDIAN(B4:F4)</f>
        <v>1.4590749999999999</v>
      </c>
      <c r="H4" s="7">
        <f>STDEV(B4:F4)/AVERAGE(B4:F4)</f>
        <v>1.348802450059735E-2</v>
      </c>
      <c r="I4" s="11">
        <f>Tiempos_cluster!G4/G4</f>
        <v>41.43062351147131</v>
      </c>
      <c r="J4" s="7">
        <f>(I4/L20)</f>
        <v>0.47080253990308307</v>
      </c>
    </row>
    <row r="5" spans="1:10" x14ac:dyDescent="0.25">
      <c r="B5" s="8"/>
      <c r="I5" s="12">
        <f>STDEV(I2:I4)/AVERAGE(I2:I4)</f>
        <v>0.73517853681362499</v>
      </c>
      <c r="J5" s="12">
        <f>STDEV(J2:J4)/AVERAGE(J2:J4)</f>
        <v>0.73517853681362499</v>
      </c>
    </row>
    <row r="6" spans="1:10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3" t="s">
        <v>11</v>
      </c>
      <c r="J6" s="3" t="s">
        <v>12</v>
      </c>
    </row>
    <row r="7" spans="1:10" x14ac:dyDescent="0.25">
      <c r="A7" s="4">
        <v>100</v>
      </c>
      <c r="B7" s="9">
        <v>1.024321</v>
      </c>
      <c r="C7" s="9">
        <v>1.0221979999999999</v>
      </c>
      <c r="D7" s="9">
        <v>1.0225470000000001</v>
      </c>
      <c r="E7" s="9">
        <v>1.0223169999999999</v>
      </c>
      <c r="F7" s="9">
        <v>1.0373429999999999</v>
      </c>
      <c r="G7" s="6">
        <f>MEDIAN(B7:F7)</f>
        <v>1.0225470000000001</v>
      </c>
      <c r="H7" s="7">
        <f>STDEV(B7:F7)/AVERAGE(B7:F7)</f>
        <v>6.3761240146465682E-3</v>
      </c>
      <c r="I7" s="11">
        <f>Tiempos_cluster!G7/G7</f>
        <v>40.776620536757719</v>
      </c>
      <c r="J7" s="7">
        <f>(I7/L20)</f>
        <v>0.46337068791770136</v>
      </c>
    </row>
    <row r="8" spans="1:10" x14ac:dyDescent="0.25">
      <c r="A8" s="4">
        <v>1000</v>
      </c>
      <c r="B8" s="9">
        <v>6.7756049999999997</v>
      </c>
      <c r="C8" s="9">
        <v>6.8048690000000001</v>
      </c>
      <c r="D8" s="9">
        <v>6.8014960000000002</v>
      </c>
      <c r="E8" s="9">
        <v>6.7787030000000001</v>
      </c>
      <c r="F8" s="9">
        <v>6.7663399999999996</v>
      </c>
      <c r="G8" s="6">
        <f>MEDIAN(B8:F8)</f>
        <v>6.7787030000000001</v>
      </c>
      <c r="H8" s="7">
        <f>STDEV(B8:F8)/AVERAGE(B8:F8)</f>
        <v>2.4903775398757706E-3</v>
      </c>
      <c r="I8" s="11">
        <f>Tiempos_cluster!G8/G8</f>
        <v>61.528902505390782</v>
      </c>
      <c r="J8" s="7">
        <f>(I8/L20)</f>
        <v>0.69919207392489524</v>
      </c>
    </row>
    <row r="9" spans="1:10" x14ac:dyDescent="0.25">
      <c r="A9" s="4">
        <v>10000</v>
      </c>
      <c r="B9" s="9">
        <v>65.573370999999995</v>
      </c>
      <c r="C9" s="9">
        <v>65.737662</v>
      </c>
      <c r="D9" s="9">
        <v>65.572700999999995</v>
      </c>
      <c r="E9" s="9">
        <v>65.592534999999998</v>
      </c>
      <c r="F9" s="9">
        <v>65.664603</v>
      </c>
      <c r="G9" s="6">
        <f>MEDIAN(B9:F9)</f>
        <v>65.592534999999998</v>
      </c>
      <c r="H9" s="7">
        <f>STDEV(B9:F9)/AVERAGE(B9:F9)</f>
        <v>1.0952220205818076E-3</v>
      </c>
      <c r="I9" s="11">
        <f>Tiempos_cluster!G9/G9</f>
        <v>63.601177573027179</v>
      </c>
      <c r="J9" s="7">
        <f>(I9/L20)</f>
        <v>0.72274065423894518</v>
      </c>
    </row>
    <row r="10" spans="1:10" x14ac:dyDescent="0.25">
      <c r="G10" s="10"/>
      <c r="I10" s="12">
        <f>STDEV(I7:I9)/AVERAGE(I7:I9)</f>
        <v>0.22823941466729977</v>
      </c>
      <c r="J10" s="12">
        <f>STDEV(J7:J9)/AVERAGE(J7:J9)</f>
        <v>0.22823941466729977</v>
      </c>
    </row>
    <row r="11" spans="1:10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3" t="s">
        <v>11</v>
      </c>
      <c r="J11" s="3" t="s">
        <v>12</v>
      </c>
    </row>
    <row r="12" spans="1:10" x14ac:dyDescent="0.25">
      <c r="A12" s="4">
        <v>150</v>
      </c>
      <c r="B12" s="5">
        <v>0.96118700000000001</v>
      </c>
      <c r="C12" s="5">
        <v>0.91436499999999998</v>
      </c>
      <c r="D12" s="5">
        <v>0.926149</v>
      </c>
      <c r="E12" s="5">
        <v>0.92308999999999997</v>
      </c>
      <c r="F12" s="5">
        <v>0.91555299999999995</v>
      </c>
      <c r="G12" s="6">
        <f>MEDIAN(B12:F12)</f>
        <v>0.92308999999999997</v>
      </c>
      <c r="H12" s="7">
        <f>STDEV(B12:F12)/AVERAGE(B12:F12)</f>
        <v>2.0654201504745468E-2</v>
      </c>
      <c r="I12" s="11">
        <f>Tiempos_cluster!G12/G12</f>
        <v>55.933657606517244</v>
      </c>
      <c r="J12" s="7">
        <f>(I12/L20)</f>
        <v>0.63560974552860505</v>
      </c>
    </row>
    <row r="13" spans="1:10" x14ac:dyDescent="0.25">
      <c r="A13" s="4">
        <v>1500</v>
      </c>
      <c r="B13" s="5">
        <v>8.4318209999999993</v>
      </c>
      <c r="C13" s="5">
        <v>8.4863440000000008</v>
      </c>
      <c r="D13" s="5">
        <v>8.4754369999999994</v>
      </c>
      <c r="E13" s="5">
        <v>8.4487500000000004</v>
      </c>
      <c r="F13" s="5">
        <v>8.4358409999999999</v>
      </c>
      <c r="G13" s="6">
        <f>MEDIAN(B13:F13)</f>
        <v>8.4487500000000004</v>
      </c>
      <c r="H13" s="7">
        <f>STDEV(B13:F13)/AVERAGE(B13:F13)</f>
        <v>2.861332110910587E-3</v>
      </c>
      <c r="I13" s="11">
        <f>Tiempos_cluster!G13/G13</f>
        <v>61.11811877496671</v>
      </c>
      <c r="J13" s="7">
        <f>(I13/L20)</f>
        <v>0.69452407698825802</v>
      </c>
    </row>
    <row r="14" spans="1:10" x14ac:dyDescent="0.25">
      <c r="A14" s="4">
        <v>15000</v>
      </c>
      <c r="B14" s="5">
        <v>80.748289999999997</v>
      </c>
      <c r="C14" s="5">
        <v>81.452515000000005</v>
      </c>
      <c r="D14" s="5">
        <v>81.554029</v>
      </c>
      <c r="E14" s="5">
        <v>81.738718000000006</v>
      </c>
      <c r="F14" s="5">
        <v>81.660126000000005</v>
      </c>
      <c r="G14" s="6">
        <f>MEDIAN(B14:F14)</f>
        <v>81.554029</v>
      </c>
      <c r="H14" s="7">
        <f>STDEV(B14:F14)/AVERAGE(B14:F14)</f>
        <v>4.8692916218984264E-3</v>
      </c>
      <c r="I14" s="11">
        <f>Tiempos_cluster!G14/G14</f>
        <v>63.568816618489812</v>
      </c>
      <c r="J14" s="7">
        <f>(I14/L20)</f>
        <v>0.7223729161192024</v>
      </c>
    </row>
    <row r="15" spans="1:10" x14ac:dyDescent="0.25">
      <c r="I15" s="12">
        <f>STDEV(I12:I14)/AVERAGE(I12:I14)</f>
        <v>6.4748343399738478E-2</v>
      </c>
      <c r="J15" s="12">
        <f>STDEV(J12:J14)/AVERAGE(J12:J14)</f>
        <v>6.4748343399738464E-2</v>
      </c>
    </row>
    <row r="16" spans="1:10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  <c r="I16" s="3" t="s">
        <v>11</v>
      </c>
      <c r="J16" s="3" t="s">
        <v>12</v>
      </c>
    </row>
    <row r="17" spans="1:12" x14ac:dyDescent="0.25">
      <c r="A17" s="4">
        <v>100</v>
      </c>
      <c r="B17" s="5">
        <v>9.1571079999999991</v>
      </c>
      <c r="C17" s="5">
        <v>9.2224939999999993</v>
      </c>
      <c r="D17" s="5">
        <v>9.1817480000000007</v>
      </c>
      <c r="E17" s="5">
        <v>9.1463479999999997</v>
      </c>
      <c r="F17" s="5">
        <v>9.3341200000000004</v>
      </c>
      <c r="G17" s="6">
        <f>MEDIAN(B17:F17)</f>
        <v>9.1817480000000007</v>
      </c>
      <c r="H17" s="7">
        <f>STDEV(B17:F17)/AVERAGE(B17:F17)</f>
        <v>8.2697472894998538E-3</v>
      </c>
      <c r="I17" s="11">
        <f>Tiempos_cluster!G17/G17</f>
        <v>41.025677899240968</v>
      </c>
      <c r="J17" s="7">
        <f>(I17/L20)</f>
        <v>0.46620088521864739</v>
      </c>
    </row>
    <row r="18" spans="1:12" x14ac:dyDescent="0.25">
      <c r="A18" s="4">
        <v>1000</v>
      </c>
      <c r="B18" s="5">
        <v>62.129229000000002</v>
      </c>
      <c r="C18" s="5">
        <v>62.377848</v>
      </c>
      <c r="D18" s="5">
        <v>62.436382999999999</v>
      </c>
      <c r="E18" s="5">
        <v>62.107866999999999</v>
      </c>
      <c r="F18" s="5">
        <v>62.37039</v>
      </c>
      <c r="G18" s="6">
        <f>MEDIAN(B18:F18)</f>
        <v>62.37039</v>
      </c>
      <c r="H18" s="7">
        <f>STDEV(B18:F18)/AVERAGE(B18:F18)</f>
        <v>2.4673597341974308E-3</v>
      </c>
      <c r="I18" s="11">
        <f>Tiempos_cluster!G18/G18</f>
        <v>60.408612564391532</v>
      </c>
      <c r="J18" s="7">
        <f>(I18/L20)</f>
        <v>0.68646150641354009</v>
      </c>
    </row>
    <row r="19" spans="1:12" x14ac:dyDescent="0.25">
      <c r="A19" s="4">
        <v>10000</v>
      </c>
      <c r="B19" s="5">
        <v>598.83889099999999</v>
      </c>
      <c r="C19" s="5">
        <v>599.06958599999996</v>
      </c>
      <c r="D19" s="5">
        <v>597.938715</v>
      </c>
      <c r="E19" s="5">
        <v>598.87971700000003</v>
      </c>
      <c r="F19" s="5">
        <v>598.73027100000002</v>
      </c>
      <c r="G19" s="6">
        <f>MEDIAN(B19:F19)</f>
        <v>598.83889099999999</v>
      </c>
      <c r="H19" s="7">
        <f>STDEV(B19:F19)/AVERAGE(B19:F19)</f>
        <v>7.3202979179274664E-4</v>
      </c>
      <c r="I19" s="11">
        <f>Tiempos_cluster!G19/G19</f>
        <v>62.897635594612716</v>
      </c>
      <c r="J19" s="7">
        <f>(I19/L20)</f>
        <v>0.7147458590296899</v>
      </c>
    </row>
    <row r="20" spans="1:12" x14ac:dyDescent="0.25">
      <c r="I20" s="12">
        <f>STDEV(I17:I19)/AVERAGE(I17:I19)</f>
        <v>0.21859618023446209</v>
      </c>
      <c r="J20" s="12">
        <f>STDEV(J17:J19)/AVERAGE(J17:J19)</f>
        <v>0.21859618023446192</v>
      </c>
      <c r="K20" s="3" t="s">
        <v>13</v>
      </c>
      <c r="L20">
        <f>88</f>
        <v>88</v>
      </c>
    </row>
  </sheetData>
  <conditionalFormatting sqref="H2:H4">
    <cfRule type="cellIs" dxfId="8" priority="2" operator="greaterThan">
      <formula>0.1</formula>
    </cfRule>
  </conditionalFormatting>
  <conditionalFormatting sqref="H7:H10 H12:H15">
    <cfRule type="cellIs" dxfId="7" priority="3" operator="greaterThan">
      <formula>0.1</formula>
    </cfRule>
  </conditionalFormatting>
  <conditionalFormatting sqref="H17:H19">
    <cfRule type="cellIs" dxfId="6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abSelected="1" zoomScaleNormal="100" workbookViewId="0">
      <selection activeCell="M13" sqref="M13"/>
    </sheetView>
  </sheetViews>
  <sheetFormatPr baseColWidth="10" defaultColWidth="9.140625" defaultRowHeight="15" x14ac:dyDescent="0.25"/>
  <cols>
    <col min="1" max="1" width="11.5703125" customWidth="1"/>
    <col min="2" max="2" width="13.28515625" customWidth="1"/>
    <col min="3" max="3" width="20.5703125" customWidth="1"/>
    <col min="4" max="4" width="26.85546875" customWidth="1"/>
    <col min="5" max="5" width="19" customWidth="1"/>
    <col min="6" max="6" width="18.85546875" customWidth="1"/>
    <col min="7" max="7" width="15.85546875" customWidth="1"/>
    <col min="8" max="8" width="13.28515625" customWidth="1"/>
    <col min="9" max="9" width="16.42578125" customWidth="1"/>
    <col min="10" max="10" width="12.85546875" customWidth="1"/>
    <col min="11" max="11" width="11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11</v>
      </c>
      <c r="J1" s="3" t="s">
        <v>12</v>
      </c>
    </row>
    <row r="2" spans="1:10" x14ac:dyDescent="0.25">
      <c r="A2" s="4">
        <v>5</v>
      </c>
      <c r="B2" s="5">
        <v>0.17077800000000001</v>
      </c>
      <c r="C2" s="5">
        <v>0.17013900000000001</v>
      </c>
      <c r="D2" s="5">
        <v>0.17085900000000001</v>
      </c>
      <c r="E2" s="5">
        <v>0.17077300000000001</v>
      </c>
      <c r="F2" s="5">
        <v>0.16855400000000001</v>
      </c>
      <c r="G2" s="6">
        <f>MEDIAN(B2:F2)</f>
        <v>0.17077300000000001</v>
      </c>
      <c r="H2" s="7">
        <f>STDEV(B2:F2)/AVERAGE(B2:F2)</f>
        <v>5.7317081819631506E-3</v>
      </c>
      <c r="I2" s="11">
        <f>Tiempos_cluster!G2/G2</f>
        <v>17.930580361064102</v>
      </c>
      <c r="J2" s="7">
        <f>(I2/L20)</f>
        <v>0.20375659501209206</v>
      </c>
    </row>
    <row r="3" spans="1:10" x14ac:dyDescent="0.25">
      <c r="A3" s="4">
        <v>50</v>
      </c>
      <c r="B3" s="5">
        <v>1.081907</v>
      </c>
      <c r="C3" s="5">
        <v>1.108924</v>
      </c>
      <c r="D3" s="5">
        <v>1.1106799999999999</v>
      </c>
      <c r="E3" s="5">
        <v>1.102098</v>
      </c>
      <c r="F3" s="5">
        <v>1.1403110000000001</v>
      </c>
      <c r="G3" s="6">
        <f>MEDIAN(B3:F3)</f>
        <v>1.108924</v>
      </c>
      <c r="H3" s="7">
        <f>STDEV(B3:F3)/AVERAGE(B3:F3)</f>
        <v>1.8943112731846738E-2</v>
      </c>
      <c r="I3" s="11">
        <f>Tiempos_cluster!G3/G3</f>
        <v>27.243796689403421</v>
      </c>
      <c r="J3" s="7">
        <f>(I3/L20)</f>
        <v>0.3095885987432207</v>
      </c>
    </row>
    <row r="4" spans="1:10" x14ac:dyDescent="0.25">
      <c r="A4" s="4">
        <v>100</v>
      </c>
      <c r="B4" s="5">
        <v>2.1202830000000001</v>
      </c>
      <c r="C4" s="5">
        <v>2.1339480000000002</v>
      </c>
      <c r="D4" s="5">
        <v>2.1505809999999999</v>
      </c>
      <c r="E4" s="5">
        <v>2.007568</v>
      </c>
      <c r="F4" s="5">
        <v>2.165473</v>
      </c>
      <c r="G4" s="6">
        <f>MEDIAN(B4:F4)</f>
        <v>2.1339480000000002</v>
      </c>
      <c r="H4" s="7">
        <f>STDEV(B4:F4)/AVERAGE(B4:F4)</f>
        <v>2.9651822746197584E-2</v>
      </c>
      <c r="I4" s="11">
        <f>Tiempos_cluster!G4/G4</f>
        <v>28.327956913664249</v>
      </c>
      <c r="J4" s="7">
        <f>(I4/L20)</f>
        <v>0.32190860129163917</v>
      </c>
    </row>
    <row r="5" spans="1:10" x14ac:dyDescent="0.25">
      <c r="B5" s="8"/>
      <c r="I5" s="12">
        <f>STDEV(I2:I4)/AVERAGE(I2:I4)</f>
        <v>0.23328735152821778</v>
      </c>
      <c r="J5" s="12">
        <f>STDEV(J2:J4)/AVERAGE(J2:J4)</f>
        <v>0.23328735152821811</v>
      </c>
    </row>
    <row r="6" spans="1:10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3" t="s">
        <v>11</v>
      </c>
      <c r="J6" s="3" t="s">
        <v>12</v>
      </c>
    </row>
    <row r="7" spans="1:10" x14ac:dyDescent="0.25">
      <c r="A7" s="4">
        <v>100</v>
      </c>
      <c r="B7" s="9">
        <v>0.66821299999999995</v>
      </c>
      <c r="C7" s="9">
        <v>0.66946799999999995</v>
      </c>
      <c r="D7" s="9">
        <v>0.66881400000000002</v>
      </c>
      <c r="E7" s="9">
        <v>0.67014600000000002</v>
      </c>
      <c r="F7" s="9">
        <v>0.67533299999999996</v>
      </c>
      <c r="G7" s="6">
        <f>MEDIAN(B7:F7)</f>
        <v>0.66946799999999995</v>
      </c>
      <c r="H7" s="7">
        <f>STDEV(B7:F7)/AVERAGE(B7:F7)</f>
        <v>4.2561863554633405E-3</v>
      </c>
      <c r="I7" s="11">
        <f>Tiempos_cluster!G7/G7</f>
        <v>62.282306249141108</v>
      </c>
      <c r="J7" s="7">
        <f>(I7/L20)</f>
        <v>0.70775348010387618</v>
      </c>
    </row>
    <row r="8" spans="1:10" x14ac:dyDescent="0.25">
      <c r="A8" s="4">
        <v>1000</v>
      </c>
      <c r="B8" s="9">
        <v>6.6188539999999998</v>
      </c>
      <c r="C8" s="9">
        <v>6.6463419999999998</v>
      </c>
      <c r="D8" s="9">
        <v>6.6304249999999998</v>
      </c>
      <c r="E8" s="9">
        <v>6.6301490000000003</v>
      </c>
      <c r="F8" s="9">
        <v>6.6470940000000001</v>
      </c>
      <c r="G8" s="6">
        <f>MEDIAN(B8:F8)</f>
        <v>6.6304249999999998</v>
      </c>
      <c r="H8" s="7">
        <f>STDEV(B8:F8)/AVERAGE(B8:F8)</f>
        <v>1.813645329665652E-3</v>
      </c>
      <c r="I8" s="11">
        <f>Tiempos_cluster!G8/G8</f>
        <v>62.904890108854261</v>
      </c>
      <c r="J8" s="7">
        <f>(I8/L20)</f>
        <v>0.7148282966915257</v>
      </c>
    </row>
    <row r="9" spans="1:10" x14ac:dyDescent="0.25">
      <c r="A9" s="4">
        <v>10000</v>
      </c>
      <c r="B9" s="9">
        <v>66.325305</v>
      </c>
      <c r="C9" s="9">
        <v>66.377690999999999</v>
      </c>
      <c r="D9" s="9">
        <v>66.451476999999997</v>
      </c>
      <c r="E9" s="9">
        <v>66.344103000000004</v>
      </c>
      <c r="F9" s="9">
        <v>66.203208000000004</v>
      </c>
      <c r="G9" s="6">
        <f>MEDIAN(B9:F9)</f>
        <v>66.344103000000004</v>
      </c>
      <c r="H9" s="7">
        <f>STDEV(B9:F9)/AVERAGE(B9:F9)</f>
        <v>1.3648208858182225E-3</v>
      </c>
      <c r="I9" s="11">
        <f>Tiempos_cluster!G9/G9</f>
        <v>62.88068234188048</v>
      </c>
      <c r="J9" s="7">
        <f>(I9/L20)</f>
        <v>0.71455320843046</v>
      </c>
    </row>
    <row r="10" spans="1:10" x14ac:dyDescent="0.25">
      <c r="G10" s="10"/>
      <c r="I10" s="12">
        <f>STDEV(I7:I9)/AVERAGE(I7:I9)</f>
        <v>5.6256584062008824E-3</v>
      </c>
      <c r="J10" s="12">
        <f>STDEV(J7:J9)/AVERAGE(J7:J9)</f>
        <v>5.6256584062009283E-3</v>
      </c>
    </row>
    <row r="11" spans="1:10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3" t="s">
        <v>11</v>
      </c>
      <c r="J11" s="3" t="s">
        <v>12</v>
      </c>
    </row>
    <row r="12" spans="1:10" x14ac:dyDescent="0.25">
      <c r="A12" s="4">
        <v>150</v>
      </c>
      <c r="B12" s="5">
        <v>0.85687899999999995</v>
      </c>
      <c r="C12" s="5">
        <v>0.85809800000000003</v>
      </c>
      <c r="D12" s="5">
        <v>0.85908899999999999</v>
      </c>
      <c r="E12" s="5">
        <v>0.85907100000000003</v>
      </c>
      <c r="F12" s="5">
        <v>0.88662200000000002</v>
      </c>
      <c r="G12" s="6">
        <f>MEDIAN(B12:F12)</f>
        <v>0.85907100000000003</v>
      </c>
      <c r="H12" s="7">
        <f>STDEV(B12:F12)/AVERAGE(B12:F12)</f>
        <v>1.4706027400366573E-2</v>
      </c>
      <c r="I12" s="11">
        <f>Tiempos_cluster!G12/G12</f>
        <v>60.101900774208417</v>
      </c>
      <c r="J12" s="7">
        <f>(I12/L20)</f>
        <v>0.68297614516145932</v>
      </c>
    </row>
    <row r="13" spans="1:10" x14ac:dyDescent="0.25">
      <c r="A13" s="4">
        <v>1500</v>
      </c>
      <c r="B13" s="5">
        <v>8.5373990000000006</v>
      </c>
      <c r="C13" s="5">
        <v>8.5128500000000003</v>
      </c>
      <c r="D13" s="5">
        <v>8.5230610000000002</v>
      </c>
      <c r="E13" s="5">
        <v>8.5119489999999995</v>
      </c>
      <c r="F13" s="5">
        <v>8.5394330000000007</v>
      </c>
      <c r="G13" s="6">
        <f>MEDIAN(B13:F13)</f>
        <v>8.5230610000000002</v>
      </c>
      <c r="H13" s="7">
        <f>STDEV(B13:F13)/AVERAGE(B13:F13)</f>
        <v>1.5336412625395321E-3</v>
      </c>
      <c r="I13" s="11">
        <f>Tiempos_cluster!G13/G13</f>
        <v>60.585241147517308</v>
      </c>
      <c r="J13" s="7">
        <f>(I13/L20)</f>
        <v>0.68846864940360575</v>
      </c>
    </row>
    <row r="14" spans="1:10" x14ac:dyDescent="0.25">
      <c r="A14" s="4">
        <v>15000</v>
      </c>
      <c r="B14" s="5">
        <v>85.921672999999998</v>
      </c>
      <c r="C14" s="5">
        <v>85.597178999999997</v>
      </c>
      <c r="D14" s="5">
        <v>85.451650999999998</v>
      </c>
      <c r="E14" s="5">
        <v>85.620992000000001</v>
      </c>
      <c r="F14" s="5">
        <v>85.469660000000005</v>
      </c>
      <c r="G14" s="6">
        <f>MEDIAN(B14:F14)</f>
        <v>85.597178999999997</v>
      </c>
      <c r="H14" s="7">
        <f>STDEV(B14:F14)/AVERAGE(B14:F14)</f>
        <v>2.2021064931061259E-3</v>
      </c>
      <c r="I14" s="11">
        <f>Tiempos_cluster!G14/G14</f>
        <v>60.566167887378626</v>
      </c>
      <c r="J14" s="7">
        <f>(I14/L20)</f>
        <v>0.68825190781112078</v>
      </c>
    </row>
    <row r="15" spans="1:10" x14ac:dyDescent="0.25">
      <c r="I15" s="12">
        <f>STDEV(I12:I14)/AVERAGE(I12:I14)</f>
        <v>4.5304039414067743E-3</v>
      </c>
      <c r="J15" s="12">
        <f>STDEV(J12:J14)/AVERAGE(J12:J14)</f>
        <v>4.5304039414067387E-3</v>
      </c>
    </row>
    <row r="16" spans="1:10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  <c r="I16" s="3" t="s">
        <v>11</v>
      </c>
      <c r="J16" s="3" t="s">
        <v>12</v>
      </c>
    </row>
    <row r="17" spans="1:12" x14ac:dyDescent="0.25">
      <c r="A17" s="4">
        <v>100</v>
      </c>
      <c r="B17" s="5">
        <v>5.7583770000000003</v>
      </c>
      <c r="C17" s="5">
        <v>5.7529709999999996</v>
      </c>
      <c r="D17" s="5">
        <v>5.7770630000000001</v>
      </c>
      <c r="E17" s="5">
        <v>5.757892</v>
      </c>
      <c r="F17" s="5">
        <v>5.7791839999999999</v>
      </c>
      <c r="G17" s="6">
        <f>MEDIAN(B17:F17)</f>
        <v>5.7583770000000003</v>
      </c>
      <c r="H17" s="7">
        <f>STDEV(B17:F17)/AVERAGE(B17:F17)</f>
        <v>2.0990144840160102E-3</v>
      </c>
      <c r="I17" s="11">
        <f>Tiempos_cluster!G17/G17</f>
        <v>65.415556501423922</v>
      </c>
      <c r="J17" s="7">
        <f>(I17/L20)</f>
        <v>0.74335859660709003</v>
      </c>
    </row>
    <row r="18" spans="1:12" x14ac:dyDescent="0.25">
      <c r="A18" s="4">
        <v>1000</v>
      </c>
      <c r="B18" s="5">
        <v>57.661793000000003</v>
      </c>
      <c r="C18" s="5">
        <v>57.681739</v>
      </c>
      <c r="D18" s="5">
        <v>57.688200999999999</v>
      </c>
      <c r="E18" s="5">
        <v>57.719569999999997</v>
      </c>
      <c r="F18" s="5">
        <v>57.696423000000003</v>
      </c>
      <c r="G18" s="6">
        <f>MEDIAN(B18:F18)</f>
        <v>57.688200999999999</v>
      </c>
      <c r="H18" s="7">
        <f>STDEV(B18:F18)/AVERAGE(B18:F18)</f>
        <v>3.6584130427411003E-4</v>
      </c>
      <c r="I18" s="11">
        <f>Tiempos_cluster!G18/G18</f>
        <v>65.311600287206048</v>
      </c>
      <c r="J18" s="7">
        <f>(I18/L20)</f>
        <v>0.74217727599097782</v>
      </c>
    </row>
    <row r="19" spans="1:12" x14ac:dyDescent="0.25">
      <c r="A19" s="4">
        <v>10000</v>
      </c>
      <c r="B19" s="5">
        <v>577.03980799999999</v>
      </c>
      <c r="C19" s="5">
        <v>576.78092200000003</v>
      </c>
      <c r="D19" s="5">
        <v>576.69534799999997</v>
      </c>
      <c r="E19" s="5">
        <v>576.88534500000003</v>
      </c>
      <c r="F19" s="5">
        <v>576.61518599999999</v>
      </c>
      <c r="G19" s="6">
        <f>MEDIAN(B19:F19)</f>
        <v>576.78092200000003</v>
      </c>
      <c r="H19" s="7">
        <f>STDEV(B19:F19)/AVERAGE(B19:F19)</f>
        <v>2.8777309728406032E-4</v>
      </c>
      <c r="I19" s="11">
        <f>Tiempos_cluster!G19/G19</f>
        <v>65.30304472518597</v>
      </c>
      <c r="J19" s="7">
        <f>(I19/L20)</f>
        <v>0.74208005369529506</v>
      </c>
    </row>
    <row r="20" spans="1:12" x14ac:dyDescent="0.25">
      <c r="I20" s="12">
        <f>STDEV(I17:I19)/AVERAGE(I17:I19)</f>
        <v>9.5855397606179845E-4</v>
      </c>
      <c r="J20" s="12">
        <f>STDEV(J17:J19)/AVERAGE(J17:J19)</f>
        <v>9.5855397606182469E-4</v>
      </c>
      <c r="K20" s="3" t="s">
        <v>13</v>
      </c>
      <c r="L20">
        <f>88</f>
        <v>88</v>
      </c>
    </row>
    <row r="21" spans="1:12" x14ac:dyDescent="0.25">
      <c r="B21" s="13" t="s">
        <v>15</v>
      </c>
      <c r="C21" s="13" t="s">
        <v>16</v>
      </c>
      <c r="D21" s="13" t="s">
        <v>25</v>
      </c>
      <c r="E21" s="13" t="s">
        <v>18</v>
      </c>
      <c r="F21" s="13" t="s">
        <v>17</v>
      </c>
      <c r="G21" s="18" t="s">
        <v>19</v>
      </c>
      <c r="H21" s="13" t="s">
        <v>20</v>
      </c>
      <c r="I21" s="13" t="s">
        <v>22</v>
      </c>
      <c r="J21" s="13" t="s">
        <v>23</v>
      </c>
      <c r="K21" s="13" t="s">
        <v>26</v>
      </c>
    </row>
    <row r="22" spans="1:12" x14ac:dyDescent="0.25">
      <c r="A22" s="1" t="s">
        <v>0</v>
      </c>
      <c r="B22" s="14">
        <v>173323</v>
      </c>
      <c r="C22" s="15">
        <v>14</v>
      </c>
      <c r="D22" s="15">
        <v>16</v>
      </c>
      <c r="E22" s="14">
        <v>14</v>
      </c>
      <c r="F22" s="14">
        <v>1</v>
      </c>
      <c r="G22" s="19">
        <f>E22-F22</f>
        <v>13</v>
      </c>
      <c r="H22" s="16">
        <v>9.0535709999999998</v>
      </c>
      <c r="I22">
        <v>2.7700209999999998</v>
      </c>
      <c r="J22">
        <v>6</v>
      </c>
      <c r="K22">
        <v>1.142857</v>
      </c>
    </row>
    <row r="23" spans="1:12" x14ac:dyDescent="0.25">
      <c r="A23" s="1" t="s">
        <v>8</v>
      </c>
      <c r="B23" s="14">
        <v>86005</v>
      </c>
      <c r="C23" s="15">
        <v>32</v>
      </c>
      <c r="D23" s="15">
        <v>88</v>
      </c>
      <c r="E23" s="14">
        <v>32</v>
      </c>
      <c r="F23" s="14">
        <v>2</v>
      </c>
      <c r="G23" s="19">
        <f t="shared" ref="G23:G25" si="0">E23-F23</f>
        <v>30</v>
      </c>
      <c r="H23" s="16">
        <v>16.027339999999999</v>
      </c>
      <c r="I23">
        <v>5.0851810000000004</v>
      </c>
      <c r="J23">
        <v>16</v>
      </c>
      <c r="K23">
        <v>2.75</v>
      </c>
    </row>
    <row r="24" spans="1:12" x14ac:dyDescent="0.25">
      <c r="A24" s="1" t="s">
        <v>9</v>
      </c>
      <c r="B24" s="14">
        <v>22821</v>
      </c>
      <c r="C24" s="15">
        <v>27</v>
      </c>
      <c r="D24" s="15">
        <v>170</v>
      </c>
      <c r="E24" s="14">
        <v>27</v>
      </c>
      <c r="F24" s="14">
        <v>2</v>
      </c>
      <c r="G24" s="19">
        <f t="shared" si="0"/>
        <v>25</v>
      </c>
      <c r="H24" s="16">
        <v>14.518190000000001</v>
      </c>
      <c r="I24">
        <v>5.4368080000000001</v>
      </c>
      <c r="J24">
        <v>30</v>
      </c>
      <c r="K24" s="17">
        <v>6.2962959999999999</v>
      </c>
    </row>
    <row r="25" spans="1:12" x14ac:dyDescent="0.25">
      <c r="A25" s="1" t="s">
        <v>10</v>
      </c>
      <c r="B25" s="14">
        <v>126653</v>
      </c>
      <c r="C25" s="15">
        <v>89</v>
      </c>
      <c r="D25" s="15">
        <v>294</v>
      </c>
      <c r="E25" s="14">
        <v>89</v>
      </c>
      <c r="F25" s="14">
        <v>2</v>
      </c>
      <c r="G25" s="19">
        <f t="shared" si="0"/>
        <v>87</v>
      </c>
      <c r="H25" s="16">
        <v>28.90475</v>
      </c>
      <c r="I25">
        <v>6.3847839999999998</v>
      </c>
      <c r="J25">
        <v>38</v>
      </c>
      <c r="K25">
        <v>3.3033709999999998</v>
      </c>
    </row>
    <row r="28" spans="1:12" x14ac:dyDescent="0.25">
      <c r="A28" s="13" t="s">
        <v>20</v>
      </c>
      <c r="B28" t="s">
        <v>21</v>
      </c>
    </row>
    <row r="29" spans="1:12" x14ac:dyDescent="0.25">
      <c r="A29" s="13" t="s">
        <v>23</v>
      </c>
      <c r="B29" t="s">
        <v>24</v>
      </c>
    </row>
    <row r="30" spans="1:12" x14ac:dyDescent="0.25">
      <c r="A30" s="13" t="s">
        <v>23</v>
      </c>
      <c r="B30" t="s">
        <v>27</v>
      </c>
    </row>
  </sheetData>
  <conditionalFormatting sqref="H2:H4">
    <cfRule type="cellIs" dxfId="5" priority="2" operator="greaterThan">
      <formula>0.1</formula>
    </cfRule>
  </conditionalFormatting>
  <conditionalFormatting sqref="H7:H10 H12:H15">
    <cfRule type="cellIs" dxfId="4" priority="3" operator="greaterThan">
      <formula>0.1</formula>
    </cfRule>
  </conditionalFormatting>
  <conditionalFormatting sqref="H17:H19">
    <cfRule type="cellIs" dxfId="3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Normal="100" workbookViewId="0">
      <selection activeCell="K20" sqref="K20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  <col min="9" max="9" width="16.42578125" customWidth="1"/>
    <col min="10" max="10" width="12.85546875" customWidth="1"/>
    <col min="11" max="11" width="11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11</v>
      </c>
      <c r="J1" s="3" t="s">
        <v>12</v>
      </c>
    </row>
    <row r="2" spans="1:10" x14ac:dyDescent="0.25">
      <c r="A2" s="4">
        <v>5</v>
      </c>
      <c r="B2" s="5">
        <v>0.64059699999999997</v>
      </c>
      <c r="C2" s="5">
        <v>0.64118799999999998</v>
      </c>
      <c r="D2" s="5">
        <v>0.63839599999999996</v>
      </c>
      <c r="E2" s="5">
        <v>0.63867799999999997</v>
      </c>
      <c r="F2" s="5">
        <v>0.63944299999999998</v>
      </c>
      <c r="G2" s="6">
        <f>MEDIAN(B2:F2)</f>
        <v>0.63944299999999998</v>
      </c>
      <c r="H2" s="7">
        <f>STDEV(B2:F2)/AVERAGE(B2:F2)</f>
        <v>1.8860424466159821E-3</v>
      </c>
      <c r="I2" s="11">
        <f>Tiempos_cluster!G2/G2</f>
        <v>4.7886347962210865</v>
      </c>
      <c r="J2" s="7">
        <f>(I2/L20)</f>
        <v>7.4822418690954476E-2</v>
      </c>
    </row>
    <row r="3" spans="1:10" x14ac:dyDescent="0.25">
      <c r="A3" s="4">
        <v>50</v>
      </c>
      <c r="B3" s="5">
        <v>6.3849289999999996</v>
      </c>
      <c r="C3" s="5">
        <v>6.3866500000000004</v>
      </c>
      <c r="D3" s="5">
        <v>6.3901890000000003</v>
      </c>
      <c r="E3" s="5">
        <v>6.3860190000000001</v>
      </c>
      <c r="F3" s="5">
        <v>6.3877660000000001</v>
      </c>
      <c r="G3" s="6">
        <f>MEDIAN(B3:F3)</f>
        <v>6.3866500000000004</v>
      </c>
      <c r="H3" s="7">
        <f>STDEV(B3:F3)/AVERAGE(B3:F3)</f>
        <v>3.1380721767397649E-4</v>
      </c>
      <c r="I3" s="11">
        <f>Tiempos_cluster!G3/G3</f>
        <v>4.7303829080973596</v>
      </c>
      <c r="J3" s="7">
        <f>(I3/L20)</f>
        <v>7.3912232939021244E-2</v>
      </c>
    </row>
    <row r="4" spans="1:10" x14ac:dyDescent="0.25">
      <c r="A4" s="4">
        <v>100</v>
      </c>
      <c r="B4" s="5">
        <v>12.800741</v>
      </c>
      <c r="C4" s="5">
        <v>12.788323</v>
      </c>
      <c r="D4" s="5">
        <v>12.785273</v>
      </c>
      <c r="E4" s="5">
        <v>12.784378999999999</v>
      </c>
      <c r="F4" s="5">
        <v>12.791765</v>
      </c>
      <c r="G4" s="6">
        <f>MEDIAN(B4:F4)</f>
        <v>12.788323</v>
      </c>
      <c r="H4" s="7">
        <f>STDEV(B4:F4)/AVERAGE(B4:F4)</f>
        <v>5.174298868510426E-4</v>
      </c>
      <c r="I4" s="11">
        <f>Tiempos_cluster!G4/G4</f>
        <v>4.7269987628557706</v>
      </c>
      <c r="J4" s="7">
        <f>(I4/L20)</f>
        <v>7.3859355669621415E-2</v>
      </c>
    </row>
    <row r="5" spans="1:10" x14ac:dyDescent="0.25">
      <c r="B5" s="8"/>
      <c r="I5" s="12">
        <f>STDEV(I2:I4)/AVERAGE(I2:I4)</f>
        <v>7.2967768903634996E-3</v>
      </c>
      <c r="J5" s="12">
        <f>STDEV(J2:J4)/AVERAGE(J2:J4)</f>
        <v>7.2967768903634996E-3</v>
      </c>
    </row>
    <row r="6" spans="1:10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3" t="s">
        <v>11</v>
      </c>
      <c r="J6" s="3" t="s">
        <v>12</v>
      </c>
    </row>
    <row r="7" spans="1:10" x14ac:dyDescent="0.25">
      <c r="A7" s="4">
        <v>100</v>
      </c>
      <c r="B7" s="9">
        <v>8.2914209999999997</v>
      </c>
      <c r="C7" s="9">
        <v>8.2859510000000007</v>
      </c>
      <c r="D7" s="9">
        <v>8.2926500000000001</v>
      </c>
      <c r="E7" s="9">
        <v>8.2913940000000004</v>
      </c>
      <c r="F7" s="9">
        <v>8.2849120000000003</v>
      </c>
      <c r="G7" s="6">
        <f>MEDIAN(B7:F7)</f>
        <v>8.2913940000000004</v>
      </c>
      <c r="H7" s="7">
        <f>STDEV(B7:F7)/AVERAGE(B7:F7)</f>
        <v>4.2894554910875772E-4</v>
      </c>
      <c r="I7" s="11">
        <f>Tiempos_cluster!G7/G7</f>
        <v>5.0288300133849626</v>
      </c>
      <c r="J7" s="7">
        <f>(I7/L20)</f>
        <v>7.8575468959140041E-2</v>
      </c>
    </row>
    <row r="8" spans="1:10" x14ac:dyDescent="0.25">
      <c r="A8" s="4">
        <v>1000</v>
      </c>
      <c r="B8" s="9">
        <v>82.862941000000006</v>
      </c>
      <c r="C8" s="9">
        <v>82.904819000000003</v>
      </c>
      <c r="D8" s="9">
        <v>82.898351000000005</v>
      </c>
      <c r="E8" s="9">
        <v>82.903414999999995</v>
      </c>
      <c r="F8" s="9">
        <v>82.975658999999993</v>
      </c>
      <c r="G8" s="6">
        <f>MEDIAN(B8:F8)</f>
        <v>82.903414999999995</v>
      </c>
      <c r="H8" s="7">
        <f>STDEV(B8:F8)/AVERAGE(B8:F8)</f>
        <v>4.9462527031699985E-4</v>
      </c>
      <c r="I8" s="11">
        <f>Tiempos_cluster!G8/G8</f>
        <v>5.0309888440663153</v>
      </c>
      <c r="J8" s="7">
        <f>(I8/L20)</f>
        <v>7.8609200688536177E-2</v>
      </c>
    </row>
    <row r="9" spans="1:10" x14ac:dyDescent="0.25">
      <c r="A9" s="4">
        <v>10000</v>
      </c>
      <c r="B9" s="9">
        <v>829.544667</v>
      </c>
      <c r="C9" s="9">
        <v>828.77778999999998</v>
      </c>
      <c r="D9" s="9">
        <v>828.97161600000004</v>
      </c>
      <c r="E9" s="9">
        <v>829.35480900000005</v>
      </c>
      <c r="F9" s="9">
        <v>829.18618000000004</v>
      </c>
      <c r="G9" s="6">
        <f>MEDIAN(B9:F9)</f>
        <v>829.18618000000004</v>
      </c>
      <c r="H9" s="7">
        <f>STDEV(B9:F9)/AVERAGE(B9:F9)</f>
        <v>3.657729990352059E-4</v>
      </c>
      <c r="I9" s="11">
        <f>Tiempos_cluster!G9/G9</f>
        <v>5.0311529142948332</v>
      </c>
      <c r="J9" s="7">
        <f>(I9/L20)</f>
        <v>7.8611764285856769E-2</v>
      </c>
    </row>
    <row r="10" spans="1:10" x14ac:dyDescent="0.25">
      <c r="G10" s="10"/>
      <c r="I10" s="12">
        <f>STDEV(I7:I9)/AVERAGE(I7:I9)</f>
        <v>2.5770958794402973E-4</v>
      </c>
      <c r="J10" s="12">
        <f>STDEV(J7:J9)/AVERAGE(J7:J9)</f>
        <v>2.5770958794402973E-4</v>
      </c>
    </row>
    <row r="11" spans="1:10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3" t="s">
        <v>11</v>
      </c>
      <c r="J11" s="3" t="s">
        <v>12</v>
      </c>
    </row>
    <row r="12" spans="1:10" x14ac:dyDescent="0.25">
      <c r="A12" s="4">
        <v>150</v>
      </c>
      <c r="B12" s="5">
        <v>10.525740000000001</v>
      </c>
      <c r="C12" s="5">
        <v>10.515931</v>
      </c>
      <c r="D12" s="5">
        <v>10.517211</v>
      </c>
      <c r="E12" s="5">
        <v>10.518618</v>
      </c>
      <c r="F12" s="5">
        <v>10.514277999999999</v>
      </c>
      <c r="G12" s="6">
        <f>MEDIAN(B12:F12)</f>
        <v>10.517211</v>
      </c>
      <c r="H12" s="7">
        <f>STDEV(B12:F12)/AVERAGE(B12:F12)</f>
        <v>4.2093835296666549E-4</v>
      </c>
      <c r="I12" s="11">
        <f>Tiempos_cluster!G12/G12</f>
        <v>4.9092672952934002</v>
      </c>
      <c r="J12" s="7">
        <f>(I12/L20)</f>
        <v>7.6707301488959378E-2</v>
      </c>
    </row>
    <row r="13" spans="1:10" x14ac:dyDescent="0.25">
      <c r="A13" s="4">
        <v>1500</v>
      </c>
      <c r="B13" s="5">
        <v>105.082956</v>
      </c>
      <c r="C13" s="5">
        <v>105.117138</v>
      </c>
      <c r="D13" s="5">
        <v>105.137659</v>
      </c>
      <c r="E13" s="5">
        <v>105.23035900000001</v>
      </c>
      <c r="F13" s="5">
        <v>105.27584899999999</v>
      </c>
      <c r="G13" s="6">
        <f>MEDIAN(B13:F13)</f>
        <v>105.137659</v>
      </c>
      <c r="H13" s="7">
        <f>STDEV(B13:F13)/AVERAGE(B13:F13)</f>
        <v>7.7037994322428521E-4</v>
      </c>
      <c r="I13" s="11">
        <f>Tiempos_cluster!G13/G13</f>
        <v>4.9113867562906268</v>
      </c>
      <c r="J13" s="7">
        <f>(I13/L20)</f>
        <v>7.6740418067041044E-2</v>
      </c>
    </row>
    <row r="14" spans="1:10" x14ac:dyDescent="0.25">
      <c r="A14" s="4">
        <v>15000</v>
      </c>
      <c r="B14" s="5">
        <v>1057.3683530000001</v>
      </c>
      <c r="C14" s="5">
        <v>1056.202824</v>
      </c>
      <c r="D14" s="5">
        <v>1056.525697</v>
      </c>
      <c r="E14" s="5">
        <v>1056.4767979999999</v>
      </c>
      <c r="F14" s="5">
        <v>1056.7292729999999</v>
      </c>
      <c r="G14" s="6">
        <f>MEDIAN(B14:F14)</f>
        <v>1056.525697</v>
      </c>
      <c r="H14" s="7">
        <f>STDEV(B14:F14)/AVERAGE(B14:F14)</f>
        <v>4.1445809461791028E-4</v>
      </c>
      <c r="I14" s="11">
        <f>Tiempos_cluster!G14/G14</f>
        <v>4.9069257176808634</v>
      </c>
      <c r="J14" s="7">
        <f>(I14/L20)</f>
        <v>7.667071433876349E-2</v>
      </c>
    </row>
    <row r="15" spans="1:10" x14ac:dyDescent="0.25">
      <c r="I15" s="12">
        <f>STDEV(I12:I14)/AVERAGE(I12:I14)</f>
        <v>4.5454326263068328E-4</v>
      </c>
      <c r="J15" s="12">
        <f>STDEV(J12:J14)/AVERAGE(J12:J14)</f>
        <v>4.5454326263068328E-4</v>
      </c>
    </row>
    <row r="16" spans="1:10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  <c r="I16" s="3" t="s">
        <v>11</v>
      </c>
      <c r="J16" s="3" t="s">
        <v>12</v>
      </c>
    </row>
    <row r="17" spans="1:12" x14ac:dyDescent="0.25">
      <c r="A17" s="4">
        <v>100</v>
      </c>
      <c r="B17" s="5">
        <v>80.297533000000001</v>
      </c>
      <c r="C17" s="5">
        <v>80.500280000000004</v>
      </c>
      <c r="D17" s="5">
        <v>80.403216</v>
      </c>
      <c r="E17" s="5">
        <v>80.384534000000002</v>
      </c>
      <c r="F17" s="5">
        <v>80.415925999999999</v>
      </c>
      <c r="G17" s="6">
        <f>MEDIAN(B17:F17)</f>
        <v>80.403216</v>
      </c>
      <c r="H17" s="7">
        <f>STDEV(B17:F17)/AVERAGE(B17:F17)</f>
        <v>9.0245173494781557E-4</v>
      </c>
      <c r="I17" s="11">
        <f>Tiempos_cluster!G17/G17</f>
        <v>4.6849797152392512</v>
      </c>
      <c r="J17" s="7">
        <f>(I17/L20)</f>
        <v>7.3202808050613299E-2</v>
      </c>
    </row>
    <row r="18" spans="1:12" x14ac:dyDescent="0.25">
      <c r="A18" s="4">
        <v>1000</v>
      </c>
      <c r="B18" s="5">
        <v>803.69772499999999</v>
      </c>
      <c r="C18" s="5">
        <v>803.65945099999999</v>
      </c>
      <c r="D18" s="5">
        <v>803.74870199999998</v>
      </c>
      <c r="E18" s="5">
        <v>803.83355200000005</v>
      </c>
      <c r="F18" s="5">
        <v>803.61677299999997</v>
      </c>
      <c r="G18" s="6">
        <f>MEDIAN(B18:F18)</f>
        <v>803.69772499999999</v>
      </c>
      <c r="H18" s="7">
        <f>STDEV(B18:F18)/AVERAGE(B18:F18)</f>
        <v>1.0438248894510525E-4</v>
      </c>
      <c r="I18" s="11">
        <f>Tiempos_cluster!G18/G18</f>
        <v>4.6879673884855153</v>
      </c>
      <c r="J18" s="7">
        <f>(I18/L20)</f>
        <v>7.3249490445086177E-2</v>
      </c>
    </row>
    <row r="19" spans="1:12" x14ac:dyDescent="0.25">
      <c r="A19" s="4">
        <v>10000</v>
      </c>
      <c r="B19" s="5">
        <v>8046.3968279999999</v>
      </c>
      <c r="C19" s="5">
        <v>8040.2686919999996</v>
      </c>
      <c r="D19" s="5">
        <v>8031.9465120000004</v>
      </c>
      <c r="E19" s="5">
        <v>8033.8566689999998</v>
      </c>
      <c r="F19" s="5">
        <v>8031.9747310000002</v>
      </c>
      <c r="G19" s="6">
        <f>MEDIAN(B19:F19)</f>
        <v>8033.8566689999998</v>
      </c>
      <c r="H19" s="7">
        <f>STDEV(B19:F19)/AVERAGE(B19:F19)</f>
        <v>7.8594260827891279E-4</v>
      </c>
      <c r="I19" s="11">
        <f>Tiempos_cluster!G19/G19</f>
        <v>4.6883522942771592</v>
      </c>
      <c r="J19" s="7">
        <f>(I19/L20)</f>
        <v>7.3255504598080612E-2</v>
      </c>
    </row>
    <row r="20" spans="1:12" x14ac:dyDescent="0.25">
      <c r="I20" s="12">
        <f>STDEV(I17:I19)/AVERAGE(I17:I19)</f>
        <v>3.9386946858723459E-4</v>
      </c>
      <c r="J20" s="12">
        <f>STDEV(J17:J19)/AVERAGE(J17:J19)</f>
        <v>3.9386946858723459E-4</v>
      </c>
      <c r="K20" s="3" t="s">
        <v>14</v>
      </c>
      <c r="L20">
        <v>64</v>
      </c>
    </row>
  </sheetData>
  <conditionalFormatting sqref="H2:H4">
    <cfRule type="cellIs" dxfId="2" priority="2" operator="greaterThan">
      <formula>0.1</formula>
    </cfRule>
  </conditionalFormatting>
  <conditionalFormatting sqref="H7:H10 H12:H15">
    <cfRule type="cellIs" dxfId="1" priority="3" operator="greaterThan">
      <formula>0.1</formula>
    </cfRule>
  </conditionalFormatting>
  <conditionalFormatting sqref="H17:H19">
    <cfRule type="cellIs" dxfId="0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Tiempos_cluster</vt:lpstr>
      <vt:lpstr>Paralelismo_grueso_cluster_88</vt:lpstr>
      <vt:lpstr>Paralelismo_fino_cluster_88</vt:lpstr>
      <vt:lpstr>Vectorizacion_cluster_AVX512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Vega Rodríguez</dc:creator>
  <dc:description/>
  <cp:lastModifiedBy>Sergio Santander Jiménez</cp:lastModifiedBy>
  <cp:revision>210</cp:revision>
  <dcterms:created xsi:type="dcterms:W3CDTF">2018-11-09T13:12:29Z</dcterms:created>
  <dcterms:modified xsi:type="dcterms:W3CDTF">2024-07-19T19:56:36Z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