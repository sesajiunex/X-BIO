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gio-ARCO\Desktop\X-BIO-main\X-BIO-main\Datasets\Phylogenetic\"/>
    </mc:Choice>
  </mc:AlternateContent>
  <bookViews>
    <workbookView xWindow="0" yWindow="0" windowWidth="16380" windowHeight="8190" tabRatio="500"/>
  </bookViews>
  <sheets>
    <sheet name="Tiempos" sheetId="1" r:id="rId1"/>
    <sheet name="paralelismo_grueso_6_cores" sheetId="2" r:id="rId2"/>
    <sheet name="paralelismo_fino_6_cores" sheetId="3" r:id="rId3"/>
    <sheet name="vectorizacion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0" i="4" l="1"/>
  <c r="H19" i="4"/>
  <c r="G19" i="4"/>
  <c r="H18" i="4"/>
  <c r="G18" i="4"/>
  <c r="I18" i="4" s="1"/>
  <c r="J18" i="4" s="1"/>
  <c r="H17" i="4"/>
  <c r="G17" i="4"/>
  <c r="H14" i="4"/>
  <c r="G14" i="4"/>
  <c r="I13" i="4"/>
  <c r="J13" i="4" s="1"/>
  <c r="H13" i="4"/>
  <c r="G13" i="4"/>
  <c r="H12" i="4"/>
  <c r="G12" i="4"/>
  <c r="H9" i="4"/>
  <c r="G9" i="4"/>
  <c r="I9" i="4" s="1"/>
  <c r="J9" i="4" s="1"/>
  <c r="H8" i="4"/>
  <c r="G8" i="4"/>
  <c r="H7" i="4"/>
  <c r="G7" i="4"/>
  <c r="H4" i="4"/>
  <c r="G4" i="4"/>
  <c r="H3" i="4"/>
  <c r="G3" i="4"/>
  <c r="H2" i="4"/>
  <c r="G2" i="4"/>
  <c r="L20" i="3"/>
  <c r="H19" i="3"/>
  <c r="G19" i="3"/>
  <c r="H18" i="3"/>
  <c r="G18" i="3"/>
  <c r="H17" i="3"/>
  <c r="G17" i="3"/>
  <c r="I17" i="3" s="1"/>
  <c r="H14" i="3"/>
  <c r="G14" i="3"/>
  <c r="H13" i="3"/>
  <c r="G13" i="3"/>
  <c r="I12" i="3"/>
  <c r="H12" i="3"/>
  <c r="G12" i="3"/>
  <c r="H9" i="3"/>
  <c r="G9" i="3"/>
  <c r="H8" i="3"/>
  <c r="G8" i="3"/>
  <c r="I8" i="3" s="1"/>
  <c r="J8" i="3" s="1"/>
  <c r="H7" i="3"/>
  <c r="G7" i="3"/>
  <c r="H4" i="3"/>
  <c r="G4" i="3"/>
  <c r="I3" i="3"/>
  <c r="J3" i="3" s="1"/>
  <c r="H3" i="3"/>
  <c r="G3" i="3"/>
  <c r="H2" i="3"/>
  <c r="G2" i="3"/>
  <c r="L20" i="2"/>
  <c r="I19" i="2"/>
  <c r="J19" i="2" s="1"/>
  <c r="H19" i="2"/>
  <c r="G19" i="2"/>
  <c r="H18" i="2"/>
  <c r="G18" i="2"/>
  <c r="H17" i="2"/>
  <c r="G17" i="2"/>
  <c r="H14" i="2"/>
  <c r="G14" i="2"/>
  <c r="H13" i="2"/>
  <c r="G13" i="2"/>
  <c r="H12" i="2"/>
  <c r="G12" i="2"/>
  <c r="I12" i="2" s="1"/>
  <c r="H9" i="2"/>
  <c r="G9" i="2"/>
  <c r="H8" i="2"/>
  <c r="G8" i="2"/>
  <c r="I7" i="2"/>
  <c r="H7" i="2"/>
  <c r="G7" i="2"/>
  <c r="H4" i="2"/>
  <c r="G4" i="2"/>
  <c r="H3" i="2"/>
  <c r="G3" i="2"/>
  <c r="H2" i="2"/>
  <c r="G2" i="2"/>
  <c r="H19" i="1"/>
  <c r="G19" i="1"/>
  <c r="I19" i="3" s="1"/>
  <c r="J19" i="3" s="1"/>
  <c r="H18" i="1"/>
  <c r="G18" i="1"/>
  <c r="I18" i="2" s="1"/>
  <c r="J18" i="2" s="1"/>
  <c r="H17" i="1"/>
  <c r="G17" i="1"/>
  <c r="I17" i="4" s="1"/>
  <c r="H14" i="1"/>
  <c r="G14" i="1"/>
  <c r="I14" i="2" s="1"/>
  <c r="J14" i="2" s="1"/>
  <c r="H13" i="1"/>
  <c r="G13" i="1"/>
  <c r="I13" i="2" s="1"/>
  <c r="J13" i="2" s="1"/>
  <c r="H12" i="1"/>
  <c r="G12" i="1"/>
  <c r="I12" i="4" s="1"/>
  <c r="H9" i="1"/>
  <c r="G9" i="1"/>
  <c r="I9" i="2" s="1"/>
  <c r="J9" i="2" s="1"/>
  <c r="H8" i="1"/>
  <c r="G8" i="1"/>
  <c r="I8" i="4" s="1"/>
  <c r="J8" i="4" s="1"/>
  <c r="H7" i="1"/>
  <c r="G7" i="1"/>
  <c r="I7" i="3" s="1"/>
  <c r="H4" i="1"/>
  <c r="G4" i="1"/>
  <c r="I4" i="2" s="1"/>
  <c r="J4" i="2" s="1"/>
  <c r="H3" i="1"/>
  <c r="G3" i="1"/>
  <c r="I3" i="4" s="1"/>
  <c r="J3" i="4" s="1"/>
  <c r="H2" i="1"/>
  <c r="G2" i="1"/>
  <c r="I2" i="2" s="1"/>
  <c r="J17" i="3" l="1"/>
  <c r="I15" i="2"/>
  <c r="J12" i="2"/>
  <c r="J15" i="2" s="1"/>
  <c r="J2" i="2"/>
  <c r="J5" i="2" s="1"/>
  <c r="I5" i="2"/>
  <c r="J12" i="4"/>
  <c r="J7" i="3"/>
  <c r="J10" i="3" s="1"/>
  <c r="J17" i="4"/>
  <c r="J20" i="4" s="1"/>
  <c r="I4" i="3"/>
  <c r="J4" i="3" s="1"/>
  <c r="I13" i="3"/>
  <c r="J13" i="3" s="1"/>
  <c r="J12" i="3"/>
  <c r="I4" i="4"/>
  <c r="J4" i="4" s="1"/>
  <c r="I8" i="2"/>
  <c r="J8" i="2" s="1"/>
  <c r="I17" i="2"/>
  <c r="I2" i="4"/>
  <c r="I14" i="4"/>
  <c r="J14" i="4" s="1"/>
  <c r="I9" i="3"/>
  <c r="J9" i="3" s="1"/>
  <c r="I18" i="3"/>
  <c r="J18" i="3" s="1"/>
  <c r="J7" i="2"/>
  <c r="I7" i="4"/>
  <c r="I19" i="4"/>
  <c r="J19" i="4" s="1"/>
  <c r="I3" i="2"/>
  <c r="J3" i="2" s="1"/>
  <c r="I2" i="3"/>
  <c r="I14" i="3"/>
  <c r="J14" i="3" s="1"/>
  <c r="I20" i="2" l="1"/>
  <c r="J17" i="2"/>
  <c r="J20" i="2" s="1"/>
  <c r="I10" i="2"/>
  <c r="I15" i="4"/>
  <c r="I10" i="3"/>
  <c r="I5" i="4"/>
  <c r="J2" i="4"/>
  <c r="J5" i="4" s="1"/>
  <c r="J15" i="3"/>
  <c r="I15" i="3"/>
  <c r="I20" i="3"/>
  <c r="J15" i="4"/>
  <c r="J2" i="3"/>
  <c r="J5" i="3" s="1"/>
  <c r="I5" i="3"/>
  <c r="J7" i="4"/>
  <c r="J10" i="4" s="1"/>
  <c r="I10" i="4"/>
  <c r="J10" i="2"/>
  <c r="I20" i="4"/>
  <c r="J20" i="3"/>
</calcChain>
</file>

<file path=xl/sharedStrings.xml><?xml version="1.0" encoding="utf-8"?>
<sst xmlns="http://schemas.openxmlformats.org/spreadsheetml/2006/main" count="155" uniqueCount="14">
  <si>
    <t>salmonella</t>
  </si>
  <si>
    <t>Repetición 1</t>
  </si>
  <si>
    <t>Repetición 2</t>
  </si>
  <si>
    <t>Repetición 3</t>
  </si>
  <si>
    <t>Repetición 4</t>
  </si>
  <si>
    <t>Repetición 5</t>
  </si>
  <si>
    <t>MEDIANA</t>
  </si>
  <si>
    <t>COEF. VAR.</t>
  </si>
  <si>
    <t>neotrop</t>
  </si>
  <si>
    <t>bv</t>
  </si>
  <si>
    <t>tara</t>
  </si>
  <si>
    <t>ACELERACIÓN</t>
  </si>
  <si>
    <t>EFICIENCIA</t>
  </si>
  <si>
    <t>Nº 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</si>
</sst>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\ %"/>
    <numFmt numFmtId="165" formatCode="0.000000"/>
  </numFmts>
  <fonts count="7" x14ac:knownFonts="1">
    <font>
      <sz val="11"/>
      <color rgb="FF000000"/>
      <name val="Calibri"/>
      <family val="2"/>
      <charset val="1"/>
    </font>
    <font>
      <b/>
      <sz val="11"/>
      <color rgb="FFFF000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C921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2" fontId="4" fillId="0" borderId="0" xfId="0" applyNumberFormat="1" applyFont="1"/>
    <xf numFmtId="2" fontId="2" fillId="0" borderId="0" xfId="0" applyNumberFormat="1" applyFont="1"/>
    <xf numFmtId="164" fontId="0" fillId="0" borderId="0" xfId="0" applyNumberFormat="1"/>
    <xf numFmtId="0" fontId="0" fillId="0" borderId="0" xfId="0" applyAlignment="1">
      <alignment wrapText="1"/>
    </xf>
    <xf numFmtId="2" fontId="5" fillId="0" borderId="0" xfId="0" applyNumberFormat="1" applyFont="1"/>
    <xf numFmtId="165" fontId="0" fillId="0" borderId="0" xfId="0" applyNumberFormat="1"/>
    <xf numFmtId="2" fontId="0" fillId="0" borderId="0" xfId="0" applyNumberFormat="1"/>
    <xf numFmtId="164" fontId="6" fillId="0" borderId="0" xfId="0" applyNumberFormat="1" applyFont="1"/>
    <xf numFmtId="164" fontId="0" fillId="2" borderId="0" xfId="0" applyNumberFormat="1" applyFill="1"/>
    <xf numFmtId="2" fontId="0" fillId="0" borderId="0" xfId="0" applyNumberFormat="1" applyFont="1"/>
    <xf numFmtId="164" fontId="0" fillId="0" borderId="0" xfId="0" applyNumberFormat="1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zoomScaleNormal="100" workbookViewId="0">
      <selection activeCell="D28" sqref="D28"/>
    </sheetView>
  </sheetViews>
  <sheetFormatPr baseColWidth="10" defaultColWidth="9.140625" defaultRowHeight="15" x14ac:dyDescent="0.25"/>
  <cols>
    <col min="1" max="1" width="11.5703125" customWidth="1"/>
    <col min="2" max="8" width="13.2851562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25">
      <c r="A2" s="4">
        <v>5</v>
      </c>
      <c r="B2" s="5">
        <v>2.8391899999999999</v>
      </c>
      <c r="C2" s="5">
        <v>2.8396669999999999</v>
      </c>
      <c r="D2" s="5">
        <v>2.842787</v>
      </c>
      <c r="E2" s="5">
        <v>2.8401019999999999</v>
      </c>
      <c r="F2" s="5">
        <v>2.840557</v>
      </c>
      <c r="G2" s="6">
        <f>MEDIAN(B2:F2)</f>
        <v>2.8401019999999999</v>
      </c>
      <c r="H2" s="7">
        <f>STDEV(B2:F2)/AVERAGE(B2:F2)</f>
        <v>4.9143759652232335E-4</v>
      </c>
    </row>
    <row r="3" spans="1:8" x14ac:dyDescent="0.25">
      <c r="A3" s="4">
        <v>50</v>
      </c>
      <c r="B3" s="5">
        <v>28.106755</v>
      </c>
      <c r="C3" s="5">
        <v>28.128354000000002</v>
      </c>
      <c r="D3" s="5">
        <v>28.188056</v>
      </c>
      <c r="E3" s="5">
        <v>28.141428999999999</v>
      </c>
      <c r="F3" s="5">
        <v>28.116040000000002</v>
      </c>
      <c r="G3" s="6">
        <f>MEDIAN(B3:F3)</f>
        <v>28.128354000000002</v>
      </c>
      <c r="H3" s="7">
        <f>STDEV(B3:F3)/AVERAGE(B3:F3)</f>
        <v>1.1311124262560251E-3</v>
      </c>
    </row>
    <row r="4" spans="1:8" x14ac:dyDescent="0.25">
      <c r="A4" s="4">
        <v>100</v>
      </c>
      <c r="B4" s="5">
        <v>56.237555999999998</v>
      </c>
      <c r="C4" s="5">
        <v>56.213912999999998</v>
      </c>
      <c r="D4" s="5">
        <v>56.311036000000001</v>
      </c>
      <c r="E4" s="5">
        <v>56.266635999999998</v>
      </c>
      <c r="F4" s="5">
        <v>56.263558000000003</v>
      </c>
      <c r="G4" s="6">
        <f>MEDIAN(B4:F4)</f>
        <v>56.263558000000003</v>
      </c>
      <c r="H4" s="7">
        <f>STDEV(B4:F4)/AVERAGE(B4:F4)</f>
        <v>6.457060796989096E-4</v>
      </c>
    </row>
    <row r="5" spans="1:8" x14ac:dyDescent="0.25">
      <c r="B5" s="8"/>
    </row>
    <row r="6" spans="1:8" x14ac:dyDescent="0.25">
      <c r="A6" s="1" t="s">
        <v>8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3" t="s">
        <v>6</v>
      </c>
      <c r="H6" s="3" t="s">
        <v>7</v>
      </c>
    </row>
    <row r="7" spans="1:8" x14ac:dyDescent="0.25">
      <c r="A7" s="4">
        <v>100</v>
      </c>
      <c r="B7" s="9">
        <v>39.626274000000002</v>
      </c>
      <c r="C7" s="9">
        <v>39.556412999999999</v>
      </c>
      <c r="D7" s="9">
        <v>39.541718000000003</v>
      </c>
      <c r="E7" s="9">
        <v>39.557485</v>
      </c>
      <c r="F7" s="9">
        <v>39.537078000000001</v>
      </c>
      <c r="G7" s="6">
        <f>MEDIAN(B7:F7)</f>
        <v>39.556412999999999</v>
      </c>
      <c r="H7" s="7">
        <f>STDEV(B7:F7)/AVERAGE(B7:F7)</f>
        <v>9.1124951388175956E-4</v>
      </c>
    </row>
    <row r="8" spans="1:8" x14ac:dyDescent="0.25">
      <c r="A8" s="4">
        <v>1000</v>
      </c>
      <c r="B8" s="9">
        <v>395.48868599999997</v>
      </c>
      <c r="C8" s="9">
        <v>395.56520499999999</v>
      </c>
      <c r="D8" s="9">
        <v>395.65770700000002</v>
      </c>
      <c r="E8" s="9">
        <v>395.45588199999997</v>
      </c>
      <c r="F8" s="9">
        <v>395.57958200000002</v>
      </c>
      <c r="G8" s="6">
        <f>MEDIAN(B8:F8)</f>
        <v>395.56520499999999</v>
      </c>
      <c r="H8" s="7">
        <f>STDEV(B8:F8)/AVERAGE(B8:F8)</f>
        <v>2.0115300216584192E-4</v>
      </c>
    </row>
    <row r="9" spans="1:8" x14ac:dyDescent="0.25">
      <c r="A9" s="4">
        <v>10000</v>
      </c>
      <c r="B9" s="9">
        <v>3966.8548780000001</v>
      </c>
      <c r="C9" s="9">
        <v>3980.6714000000002</v>
      </c>
      <c r="D9" s="9">
        <v>3991.3207160000002</v>
      </c>
      <c r="E9" s="9">
        <v>3991.5416369999998</v>
      </c>
      <c r="F9" s="9">
        <v>3974.6911930000001</v>
      </c>
      <c r="G9" s="6">
        <f>MEDIAN(B9:F9)</f>
        <v>3980.6714000000002</v>
      </c>
      <c r="H9" s="7">
        <f>STDEV(B9:F9)/AVERAGE(B9:F9)</f>
        <v>2.6868037485511614E-3</v>
      </c>
    </row>
    <row r="10" spans="1:8" x14ac:dyDescent="0.25">
      <c r="G10" s="10"/>
    </row>
    <row r="11" spans="1:8" x14ac:dyDescent="0.25">
      <c r="A11" s="1" t="s">
        <v>9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3" t="s">
        <v>6</v>
      </c>
      <c r="H11" s="3" t="s">
        <v>7</v>
      </c>
    </row>
    <row r="12" spans="1:8" x14ac:dyDescent="0.25">
      <c r="A12" s="4">
        <v>150</v>
      </c>
      <c r="B12" s="5">
        <v>48.861891</v>
      </c>
      <c r="C12" s="5">
        <v>49.665833999999997</v>
      </c>
      <c r="D12" s="5">
        <v>48.885962999999997</v>
      </c>
      <c r="E12" s="5">
        <v>48.869616000000001</v>
      </c>
      <c r="F12" s="5">
        <v>48.895009000000002</v>
      </c>
      <c r="G12" s="6">
        <f>MEDIAN(B12:F12)</f>
        <v>48.885962999999997</v>
      </c>
      <c r="H12" s="7">
        <f>STDEV(B12:F12)/AVERAGE(B12:F12)</f>
        <v>7.1890248233680981E-3</v>
      </c>
    </row>
    <row r="13" spans="1:8" x14ac:dyDescent="0.25">
      <c r="A13" s="4">
        <v>1500</v>
      </c>
      <c r="B13" s="5">
        <v>491.16053599999998</v>
      </c>
      <c r="C13" s="5">
        <v>487.09893699999998</v>
      </c>
      <c r="D13" s="5">
        <v>487.28362299999998</v>
      </c>
      <c r="E13" s="5">
        <v>487.80429600000002</v>
      </c>
      <c r="F13" s="5">
        <v>487.07623799999999</v>
      </c>
      <c r="G13" s="6">
        <f>MEDIAN(B13:F13)</f>
        <v>487.28362299999998</v>
      </c>
      <c r="H13" s="7">
        <f>STDEV(B13:F13)/AVERAGE(B13:F13)</f>
        <v>3.5736931515175821E-3</v>
      </c>
    </row>
    <row r="14" spans="1:8" x14ac:dyDescent="0.25">
      <c r="A14" s="4">
        <v>15000</v>
      </c>
      <c r="B14" s="5">
        <v>4937.9624540000004</v>
      </c>
      <c r="C14" s="5">
        <v>4898.2223960000001</v>
      </c>
      <c r="D14" s="5">
        <v>4907.3128770000003</v>
      </c>
      <c r="E14" s="5">
        <v>4902.5908680000002</v>
      </c>
      <c r="F14" s="5">
        <v>4905.9097620000002</v>
      </c>
      <c r="G14" s="6">
        <f>MEDIAN(B14:F14)</f>
        <v>4905.9097620000002</v>
      </c>
      <c r="H14" s="7">
        <f>STDEV(B14:F14)/AVERAGE(B14:F14)</f>
        <v>3.2178186080274924E-3</v>
      </c>
    </row>
    <row r="16" spans="1:8" x14ac:dyDescent="0.25">
      <c r="A16" s="1" t="s">
        <v>10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3" t="s">
        <v>6</v>
      </c>
      <c r="H16" s="3" t="s">
        <v>7</v>
      </c>
    </row>
    <row r="17" spans="1:8" x14ac:dyDescent="0.25">
      <c r="A17" s="4">
        <v>100</v>
      </c>
      <c r="B17" s="5">
        <v>375.41028499999999</v>
      </c>
      <c r="C17" s="5">
        <v>370.82211100000001</v>
      </c>
      <c r="D17" s="5">
        <v>376.93997200000001</v>
      </c>
      <c r="E17" s="5">
        <v>371.635311</v>
      </c>
      <c r="F17" s="5">
        <v>376.69056</v>
      </c>
      <c r="G17" s="6">
        <f>MEDIAN(B17:F17)</f>
        <v>375.41028499999999</v>
      </c>
      <c r="H17" s="7">
        <f>STDEV(B17:F17)/AVERAGE(B17:F17)</f>
        <v>7.6869035084610529E-3</v>
      </c>
    </row>
    <row r="18" spans="1:8" x14ac:dyDescent="0.25">
      <c r="A18" s="4">
        <v>1000</v>
      </c>
      <c r="B18" s="5">
        <v>3769.968703</v>
      </c>
      <c r="C18" s="5">
        <v>3755.5212940000001</v>
      </c>
      <c r="D18" s="5">
        <v>3710.2984750000001</v>
      </c>
      <c r="E18" s="5">
        <v>3709.9189540000002</v>
      </c>
      <c r="F18" s="5">
        <v>3708.7570719999999</v>
      </c>
      <c r="G18" s="6">
        <f>MEDIAN(B18:F18)</f>
        <v>3710.2984750000001</v>
      </c>
      <c r="H18" s="7">
        <f>STDEV(B18:F18)/AVERAGE(B18:F18)</f>
        <v>7.9143420516630744E-3</v>
      </c>
    </row>
    <row r="19" spans="1:8" x14ac:dyDescent="0.25">
      <c r="A19" s="4">
        <v>10000</v>
      </c>
      <c r="B19" s="5">
        <v>37231.701441999998</v>
      </c>
      <c r="C19" s="5">
        <v>37018.749139</v>
      </c>
      <c r="D19" s="5">
        <v>37528.643932999999</v>
      </c>
      <c r="E19" s="5">
        <v>37674.708636000003</v>
      </c>
      <c r="F19" s="5">
        <v>37854.355713999998</v>
      </c>
      <c r="G19" s="6">
        <f>MEDIAN(B19:F19)</f>
        <v>37528.643932999999</v>
      </c>
      <c r="H19" s="7">
        <f>STDEV(B19:F19)/AVERAGE(B19:F19)</f>
        <v>8.9845906629162572E-3</v>
      </c>
    </row>
  </sheetData>
  <conditionalFormatting sqref="H2:H4">
    <cfRule type="cellIs" dxfId="11" priority="2" operator="greaterThan">
      <formula>0.1</formula>
    </cfRule>
  </conditionalFormatting>
  <conditionalFormatting sqref="H7:H10 H12:H15">
    <cfRule type="cellIs" dxfId="10" priority="3" operator="greaterThan">
      <formula>0.1</formula>
    </cfRule>
  </conditionalFormatting>
  <conditionalFormatting sqref="H17:H19">
    <cfRule type="cellIs" dxfId="9" priority="4" operator="greaterThan">
      <formula>0.1</formula>
    </cfRule>
  </conditionalFormatting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zoomScaleNormal="100" workbookViewId="0">
      <selection activeCell="C35" sqref="C35"/>
    </sheetView>
  </sheetViews>
  <sheetFormatPr baseColWidth="10" defaultColWidth="9.140625" defaultRowHeight="15" x14ac:dyDescent="0.25"/>
  <cols>
    <col min="1" max="1" width="11.5703125" customWidth="1"/>
    <col min="2" max="8" width="13.28515625" customWidth="1"/>
    <col min="9" max="9" width="16.42578125" customWidth="1"/>
    <col min="10" max="10" width="12.85546875" customWidth="1"/>
    <col min="11" max="11" width="11.570312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11</v>
      </c>
      <c r="J1" s="3" t="s">
        <v>12</v>
      </c>
    </row>
    <row r="2" spans="1:10" x14ac:dyDescent="0.25">
      <c r="A2" s="4">
        <v>5</v>
      </c>
      <c r="B2" s="11">
        <v>0.60681700000000005</v>
      </c>
      <c r="C2" s="11">
        <v>0.60544100000000001</v>
      </c>
      <c r="D2" s="11">
        <v>0.61388299999999996</v>
      </c>
      <c r="E2" s="11">
        <v>0.60292599999999996</v>
      </c>
      <c r="F2" s="11">
        <v>0.59530000000000005</v>
      </c>
      <c r="G2" s="6">
        <f>MEDIAN(B2:F2)</f>
        <v>0.60544100000000001</v>
      </c>
      <c r="H2" s="7">
        <f>STDEV(B2:F2)/AVERAGE(B2:F2)</f>
        <v>1.1112265664667043E-2</v>
      </c>
      <c r="I2" s="11">
        <f>Tiempos!G2/G2</f>
        <v>4.6909641071549499</v>
      </c>
      <c r="J2" s="7">
        <f>(I2/L20)</f>
        <v>0.78182735119249169</v>
      </c>
    </row>
    <row r="3" spans="1:10" x14ac:dyDescent="0.25">
      <c r="A3" s="4">
        <v>50</v>
      </c>
      <c r="B3" s="11">
        <v>5.388452</v>
      </c>
      <c r="C3" s="11">
        <v>5.5760699999999996</v>
      </c>
      <c r="D3" s="11">
        <v>5.5515189999999999</v>
      </c>
      <c r="E3" s="11">
        <v>5.5569610000000003</v>
      </c>
      <c r="F3" s="11">
        <v>5.3985450000000004</v>
      </c>
      <c r="G3" s="6">
        <f>MEDIAN(B3:F3)</f>
        <v>5.5515189999999999</v>
      </c>
      <c r="H3" s="7">
        <f>STDEV(B3:F3)/AVERAGE(B3:F3)</f>
        <v>1.6844100489943933E-2</v>
      </c>
      <c r="I3" s="11">
        <f>Tiempos!G3/G3</f>
        <v>5.0667851447504733</v>
      </c>
      <c r="J3" s="12">
        <f>(I3/L20)</f>
        <v>0.84446419079174551</v>
      </c>
    </row>
    <row r="4" spans="1:10" x14ac:dyDescent="0.25">
      <c r="A4" s="4">
        <v>100</v>
      </c>
      <c r="B4" s="11">
        <v>10.338312</v>
      </c>
      <c r="C4" s="11">
        <v>10.235946999999999</v>
      </c>
      <c r="D4" s="11">
        <v>10.274834</v>
      </c>
      <c r="E4" s="11">
        <v>10.259012</v>
      </c>
      <c r="F4" s="11">
        <v>10.294822</v>
      </c>
      <c r="G4" s="6">
        <f>MEDIAN(B4:F4)</f>
        <v>10.274834</v>
      </c>
      <c r="H4" s="7">
        <f>STDEV(B4:F4)/AVERAGE(B4:F4)</f>
        <v>3.7754695990816719E-3</v>
      </c>
      <c r="I4" s="11">
        <f>Tiempos!G4/G4</f>
        <v>5.4758605345838189</v>
      </c>
      <c r="J4" s="7">
        <f>(I4/L20)</f>
        <v>0.91264342243063645</v>
      </c>
    </row>
    <row r="5" spans="1:10" x14ac:dyDescent="0.25">
      <c r="B5" s="8"/>
      <c r="I5" s="13">
        <f>STDEV(I2:I4)/AVERAGE(I2:I4)</f>
        <v>7.7309110158207919E-2</v>
      </c>
      <c r="J5" s="13">
        <f>STDEV(J2:J4)/AVERAGE(J2:J4)</f>
        <v>7.7309110158207905E-2</v>
      </c>
    </row>
    <row r="6" spans="1:10" x14ac:dyDescent="0.25">
      <c r="A6" s="1" t="s">
        <v>8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3" t="s">
        <v>6</v>
      </c>
      <c r="H6" s="3" t="s">
        <v>7</v>
      </c>
      <c r="I6" s="3" t="s">
        <v>11</v>
      </c>
      <c r="J6" s="3" t="s">
        <v>12</v>
      </c>
    </row>
    <row r="7" spans="1:10" x14ac:dyDescent="0.25">
      <c r="A7" s="4">
        <v>100</v>
      </c>
      <c r="B7" s="11">
        <v>7.3317880000000004</v>
      </c>
      <c r="C7" s="11">
        <v>7.3616739999999998</v>
      </c>
      <c r="D7" s="11">
        <v>7.4804490000000001</v>
      </c>
      <c r="E7" s="11">
        <v>7.5388469999999996</v>
      </c>
      <c r="F7" s="11">
        <v>7.5304529999999996</v>
      </c>
      <c r="G7" s="6">
        <f>MEDIAN(B7:F7)</f>
        <v>7.4804490000000001</v>
      </c>
      <c r="H7" s="7">
        <f>STDEV(B7:F7)/AVERAGE(B7:F7)</f>
        <v>1.2922464526501448E-2</v>
      </c>
      <c r="I7" s="11">
        <f>Tiempos!G7/G7</f>
        <v>5.2879730882464404</v>
      </c>
      <c r="J7" s="7">
        <f>(I7/L20)</f>
        <v>0.88132884804107336</v>
      </c>
    </row>
    <row r="8" spans="1:10" x14ac:dyDescent="0.25">
      <c r="A8" s="4">
        <v>1000</v>
      </c>
      <c r="B8" s="11">
        <v>72.364104999999995</v>
      </c>
      <c r="C8" s="11">
        <v>72.663526000000005</v>
      </c>
      <c r="D8" s="11">
        <v>73.867840999999999</v>
      </c>
      <c r="E8" s="11">
        <v>74.329335999999998</v>
      </c>
      <c r="F8" s="11">
        <v>74.366174000000001</v>
      </c>
      <c r="G8" s="6">
        <f>MEDIAN(B8:F8)</f>
        <v>73.867840999999999</v>
      </c>
      <c r="H8" s="7">
        <f>STDEV(B8:F8)/AVERAGE(B8:F8)</f>
        <v>1.2835150893294945E-2</v>
      </c>
      <c r="I8" s="11">
        <f>Tiempos!G8/G8</f>
        <v>5.3550394819309801</v>
      </c>
      <c r="J8" s="7">
        <f>(I8/L20)</f>
        <v>0.89250658032183006</v>
      </c>
    </row>
    <row r="9" spans="1:10" x14ac:dyDescent="0.25">
      <c r="A9" s="4">
        <v>10000</v>
      </c>
      <c r="B9" s="11">
        <v>720.79413</v>
      </c>
      <c r="C9" s="11">
        <v>730.85109799999998</v>
      </c>
      <c r="D9" s="11">
        <v>736.863203</v>
      </c>
      <c r="E9" s="11">
        <v>741.16085499999997</v>
      </c>
      <c r="F9" s="11">
        <v>742.90501800000004</v>
      </c>
      <c r="G9" s="6">
        <f>MEDIAN(B9:F9)</f>
        <v>736.863203</v>
      </c>
      <c r="H9" s="7">
        <f>STDEV(B9:F9)/AVERAGE(B9:F9)</f>
        <v>1.2210561802102737E-2</v>
      </c>
      <c r="I9" s="11">
        <f>Tiempos!G9/G9</f>
        <v>5.4021850783068617</v>
      </c>
      <c r="J9" s="7">
        <f>(I9/L20)</f>
        <v>0.90036417971781024</v>
      </c>
    </row>
    <row r="10" spans="1:10" x14ac:dyDescent="0.25">
      <c r="G10" s="10"/>
      <c r="I10" s="13">
        <f>STDEV(I7:I9)/AVERAGE(I7:I9)</f>
        <v>1.0731213265649374E-2</v>
      </c>
      <c r="J10" s="13">
        <f>STDEV(J7:J9)/AVERAGE(J7:J9)</f>
        <v>1.0731213265649379E-2</v>
      </c>
    </row>
    <row r="11" spans="1:10" x14ac:dyDescent="0.25">
      <c r="A11" s="1" t="s">
        <v>9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3" t="s">
        <v>6</v>
      </c>
      <c r="H11" s="3" t="s">
        <v>7</v>
      </c>
      <c r="I11" s="3" t="s">
        <v>11</v>
      </c>
      <c r="J11" s="3" t="s">
        <v>12</v>
      </c>
    </row>
    <row r="12" spans="1:10" x14ac:dyDescent="0.25">
      <c r="A12" s="4">
        <v>150</v>
      </c>
      <c r="B12" s="11">
        <v>8.8865309999999997</v>
      </c>
      <c r="C12" s="11">
        <v>8.6172889999999995</v>
      </c>
      <c r="D12" s="11">
        <v>9.1727819999999998</v>
      </c>
      <c r="E12" s="11">
        <v>9.1721350000000008</v>
      </c>
      <c r="F12" s="14">
        <v>9.1907960000000006</v>
      </c>
      <c r="G12" s="6">
        <f>MEDIAN(B12:F12)</f>
        <v>9.1721350000000008</v>
      </c>
      <c r="H12" s="7">
        <f>STDEV(B12:F12)/AVERAGE(B12:F12)</f>
        <v>2.8025023924420998E-2</v>
      </c>
      <c r="I12" s="11">
        <f>Tiempos!G12/G12</f>
        <v>5.3298346568165416</v>
      </c>
      <c r="J12" s="7">
        <f>(I12/L20)</f>
        <v>0.8883057761360903</v>
      </c>
    </row>
    <row r="13" spans="1:10" x14ac:dyDescent="0.25">
      <c r="A13" s="4">
        <v>1500</v>
      </c>
      <c r="B13" s="11">
        <v>91.074950999999999</v>
      </c>
      <c r="C13" s="11">
        <v>92.414681999999999</v>
      </c>
      <c r="D13" s="11">
        <v>91.856357000000003</v>
      </c>
      <c r="E13" s="11">
        <v>89.825349000000003</v>
      </c>
      <c r="F13" s="11">
        <v>89.118303999999995</v>
      </c>
      <c r="G13" s="6">
        <f>MEDIAN(B13:F13)</f>
        <v>91.074950999999999</v>
      </c>
      <c r="H13" s="7">
        <f>STDEV(B13:F13)/AVERAGE(B13:F13)</f>
        <v>1.5130968793624338E-2</v>
      </c>
      <c r="I13" s="11">
        <f>Tiempos!G13/G13</f>
        <v>5.3503583328856248</v>
      </c>
      <c r="J13" s="7">
        <f>(I13/L20)</f>
        <v>0.8917263888142708</v>
      </c>
    </row>
    <row r="14" spans="1:10" x14ac:dyDescent="0.25">
      <c r="A14" s="4">
        <v>15000</v>
      </c>
      <c r="B14" s="11">
        <v>894.239328</v>
      </c>
      <c r="C14" s="11">
        <v>901.99956599999996</v>
      </c>
      <c r="D14" s="11">
        <v>908.70649300000002</v>
      </c>
      <c r="E14" s="11">
        <v>921.74159399999996</v>
      </c>
      <c r="F14" s="11">
        <v>922.57932500000004</v>
      </c>
      <c r="G14" s="6">
        <f>MEDIAN(B14:F14)</f>
        <v>908.70649300000002</v>
      </c>
      <c r="H14" s="7">
        <f>STDEV(B14:F14)/AVERAGE(B14:F14)</f>
        <v>1.3573457949056957E-2</v>
      </c>
      <c r="I14" s="11">
        <f>Tiempos!G14/G14</f>
        <v>5.3987836554393365</v>
      </c>
      <c r="J14" s="7">
        <f>(I14/L20)</f>
        <v>0.89979727590655612</v>
      </c>
    </row>
    <row r="15" spans="1:10" x14ac:dyDescent="0.25">
      <c r="I15" s="13">
        <f>STDEV(I12:I14)/AVERAGE(I12:I14)</f>
        <v>6.6054414891529535E-3</v>
      </c>
      <c r="J15" s="13">
        <f>STDEV(J12:J14)/AVERAGE(J12:J14)</f>
        <v>6.6054414891529587E-3</v>
      </c>
    </row>
    <row r="16" spans="1:10" x14ac:dyDescent="0.25">
      <c r="A16" s="1" t="s">
        <v>10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3" t="s">
        <v>6</v>
      </c>
      <c r="H16" s="3" t="s">
        <v>7</v>
      </c>
      <c r="I16" s="3" t="s">
        <v>11</v>
      </c>
      <c r="J16" s="3" t="s">
        <v>12</v>
      </c>
    </row>
    <row r="17" spans="1:12" x14ac:dyDescent="0.25">
      <c r="A17" s="4">
        <v>100</v>
      </c>
      <c r="B17" s="11">
        <v>69.153389000000004</v>
      </c>
      <c r="C17" s="11">
        <v>70.171199000000001</v>
      </c>
      <c r="D17" s="11">
        <v>70.084343000000004</v>
      </c>
      <c r="E17" s="11">
        <v>69.869854000000004</v>
      </c>
      <c r="F17" s="11">
        <v>69.748705000000001</v>
      </c>
      <c r="G17" s="6">
        <f>MEDIAN(B17:F17)</f>
        <v>69.869854000000004</v>
      </c>
      <c r="H17" s="7">
        <f>STDEV(B17:F17)/AVERAGE(B17:F17)</f>
        <v>5.74855544217518E-3</v>
      </c>
      <c r="I17" s="11">
        <f>Tiempos!G17/G17</f>
        <v>5.372993694820086</v>
      </c>
      <c r="J17" s="7">
        <f>(I17/L20)</f>
        <v>0.89549894913668104</v>
      </c>
    </row>
    <row r="18" spans="1:12" x14ac:dyDescent="0.25">
      <c r="A18" s="4">
        <v>1000</v>
      </c>
      <c r="B18" s="11">
        <v>685.19115099999999</v>
      </c>
      <c r="C18" s="11">
        <v>693.62719600000003</v>
      </c>
      <c r="D18" s="11">
        <v>691.36419999999998</v>
      </c>
      <c r="E18" s="11">
        <v>690.33535800000004</v>
      </c>
      <c r="F18" s="11">
        <v>691.53582300000005</v>
      </c>
      <c r="G18" s="6">
        <f>MEDIAN(B18:F18)</f>
        <v>691.36419999999998</v>
      </c>
      <c r="H18" s="7">
        <f>STDEV(B18:F18)/AVERAGE(B18:F18)</f>
        <v>4.5671132346644504E-3</v>
      </c>
      <c r="I18" s="11">
        <f>Tiempos!G18/G18</f>
        <v>5.3666337872282082</v>
      </c>
      <c r="J18" s="7">
        <f>(I18/L20)</f>
        <v>0.89443896453803473</v>
      </c>
    </row>
    <row r="19" spans="1:12" x14ac:dyDescent="0.25">
      <c r="A19" s="4">
        <v>10000</v>
      </c>
      <c r="B19" s="11">
        <v>6846.1208930000003</v>
      </c>
      <c r="C19" s="11">
        <v>6945.5489580000003</v>
      </c>
      <c r="D19" s="11">
        <v>6920.0768429999998</v>
      </c>
      <c r="E19" s="11">
        <v>6896.1340209999998</v>
      </c>
      <c r="F19" s="11">
        <v>6894.8947989999997</v>
      </c>
      <c r="G19" s="6">
        <f>MEDIAN(B19:F19)</f>
        <v>6896.1340209999998</v>
      </c>
      <c r="H19" s="7">
        <f>STDEV(B19:F19)/AVERAGE(B19:F19)</f>
        <v>5.3345055926874467E-3</v>
      </c>
      <c r="I19" s="11">
        <f>Tiempos!G19/G19</f>
        <v>5.4419829746229347</v>
      </c>
      <c r="J19" s="7">
        <f>(I19/L20)</f>
        <v>0.90699716243715578</v>
      </c>
    </row>
    <row r="20" spans="1:12" x14ac:dyDescent="0.25">
      <c r="I20" s="13">
        <f>STDEV(I17:I19)/AVERAGE(I17:I19)</f>
        <v>7.747330507267486E-3</v>
      </c>
      <c r="J20" s="13">
        <f>STDEV(J17:J19)/AVERAGE(J17:J19)</f>
        <v>7.7473305072674643E-3</v>
      </c>
      <c r="K20" s="3" t="s">
        <v>13</v>
      </c>
      <c r="L20">
        <f>6</f>
        <v>6</v>
      </c>
    </row>
  </sheetData>
  <conditionalFormatting sqref="H2:H4">
    <cfRule type="cellIs" dxfId="8" priority="2" operator="greaterThan">
      <formula>0.1</formula>
    </cfRule>
  </conditionalFormatting>
  <conditionalFormatting sqref="H7:H10 H12:H15">
    <cfRule type="cellIs" dxfId="7" priority="3" operator="greaterThan">
      <formula>0.1</formula>
    </cfRule>
  </conditionalFormatting>
  <conditionalFormatting sqref="H17:H19">
    <cfRule type="cellIs" dxfId="6" priority="4" operator="greaterThan">
      <formula>0.1</formula>
    </cfRule>
  </conditionalFormatting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zoomScaleNormal="100" workbookViewId="0">
      <selection activeCell="J7" sqref="J7"/>
    </sheetView>
  </sheetViews>
  <sheetFormatPr baseColWidth="10" defaultColWidth="9.140625" defaultRowHeight="15" x14ac:dyDescent="0.25"/>
  <cols>
    <col min="1" max="1" width="11.5703125" customWidth="1"/>
    <col min="2" max="8" width="13.28515625" customWidth="1"/>
    <col min="9" max="9" width="16.42578125" customWidth="1"/>
    <col min="10" max="10" width="12.855468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11</v>
      </c>
      <c r="J1" s="3" t="s">
        <v>12</v>
      </c>
    </row>
    <row r="2" spans="1:10" x14ac:dyDescent="0.25">
      <c r="A2" s="4">
        <v>5</v>
      </c>
      <c r="B2" s="11">
        <v>0.51893800000000001</v>
      </c>
      <c r="C2" s="11">
        <v>0.52034000000000002</v>
      </c>
      <c r="D2" s="11">
        <v>0.52041300000000001</v>
      </c>
      <c r="E2" s="11">
        <v>0.52278899999999995</v>
      </c>
      <c r="F2" s="11">
        <v>0.52511600000000003</v>
      </c>
      <c r="G2" s="6">
        <f>MEDIAN(B2:F2)</f>
        <v>0.52041300000000001</v>
      </c>
      <c r="H2" s="7">
        <f>STDEV(B2:F2)/AVERAGE(B2:F2)</f>
        <v>4.6797926300616447E-3</v>
      </c>
      <c r="I2" s="11">
        <f>Tiempos!G2/G2</f>
        <v>5.4574001802414616</v>
      </c>
      <c r="J2" s="7">
        <f>(I2/L20)</f>
        <v>0.90956669670691026</v>
      </c>
    </row>
    <row r="3" spans="1:10" x14ac:dyDescent="0.25">
      <c r="A3" s="4">
        <v>50</v>
      </c>
      <c r="B3" s="11">
        <v>5.2812010000000003</v>
      </c>
      <c r="C3" s="11">
        <v>5.2925050000000002</v>
      </c>
      <c r="D3" s="11">
        <v>5.285425</v>
      </c>
      <c r="E3" s="11">
        <v>5.295318</v>
      </c>
      <c r="F3" s="11">
        <v>5.2211939999999997</v>
      </c>
      <c r="G3" s="6">
        <f>MEDIAN(B3:F3)</f>
        <v>5.285425</v>
      </c>
      <c r="H3" s="7">
        <f>STDEV(B3:F3)/AVERAGE(B3:F3)</f>
        <v>5.8131386396234408E-3</v>
      </c>
      <c r="I3" s="11">
        <f>Tiempos!G3/G3</f>
        <v>5.3218717510890805</v>
      </c>
      <c r="J3" s="7">
        <f>(I3/L20)</f>
        <v>0.88697862518151338</v>
      </c>
    </row>
    <row r="4" spans="1:10" x14ac:dyDescent="0.25">
      <c r="A4" s="4">
        <v>100</v>
      </c>
      <c r="B4" s="11">
        <v>10.578314000000001</v>
      </c>
      <c r="C4" s="11">
        <v>10.603301999999999</v>
      </c>
      <c r="D4" s="11">
        <v>10.573392999999999</v>
      </c>
      <c r="E4" s="11">
        <v>10.341053</v>
      </c>
      <c r="F4" s="11">
        <v>10.467962</v>
      </c>
      <c r="G4" s="6">
        <f>MEDIAN(B4:F4)</f>
        <v>10.573392999999999</v>
      </c>
      <c r="H4" s="7">
        <f>STDEV(B4:F4)/AVERAGE(B4:F4)</f>
        <v>1.0383316788592995E-2</v>
      </c>
      <c r="I4" s="11">
        <f>Tiempos!G4/G4</f>
        <v>5.3212396436981022</v>
      </c>
      <c r="J4" s="7">
        <f>(I4/L20)</f>
        <v>0.88687327394968374</v>
      </c>
    </row>
    <row r="5" spans="1:10" x14ac:dyDescent="0.25">
      <c r="B5" s="8"/>
      <c r="I5" s="13">
        <f>STDEV(I2:I4)/AVERAGE(I2:I4)</f>
        <v>1.4613911834316677E-2</v>
      </c>
      <c r="J5" s="13">
        <f>STDEV(J2:J4)/AVERAGE(J2:J4)</f>
        <v>1.4613911834316677E-2</v>
      </c>
    </row>
    <row r="6" spans="1:10" x14ac:dyDescent="0.25">
      <c r="A6" s="1" t="s">
        <v>8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3" t="s">
        <v>6</v>
      </c>
      <c r="H6" s="3" t="s">
        <v>7</v>
      </c>
      <c r="I6" s="3" t="s">
        <v>11</v>
      </c>
      <c r="J6" s="3" t="s">
        <v>12</v>
      </c>
    </row>
    <row r="7" spans="1:10" x14ac:dyDescent="0.25">
      <c r="A7" s="4">
        <v>100</v>
      </c>
      <c r="B7" s="11">
        <v>7.5899359999999998</v>
      </c>
      <c r="C7" s="11">
        <v>7.6032989999999998</v>
      </c>
      <c r="D7" s="11">
        <v>7.60703</v>
      </c>
      <c r="E7" s="11">
        <v>7.5706340000000001</v>
      </c>
      <c r="F7" s="11">
        <v>7.5401040000000004</v>
      </c>
      <c r="G7" s="6">
        <f>MEDIAN(B7:F7)</f>
        <v>7.5899359999999998</v>
      </c>
      <c r="H7" s="7">
        <f>STDEV(B7:F7)/AVERAGE(B7:F7)</f>
        <v>3.6283466643001398E-3</v>
      </c>
      <c r="I7" s="11">
        <f>Tiempos!G7/G7</f>
        <v>5.2116925623615273</v>
      </c>
      <c r="J7" s="15">
        <f>(I7/L20)</f>
        <v>0.86861542706025452</v>
      </c>
    </row>
    <row r="8" spans="1:10" x14ac:dyDescent="0.25">
      <c r="A8" s="4">
        <v>1000</v>
      </c>
      <c r="B8" s="11">
        <v>76.242069999999998</v>
      </c>
      <c r="C8" s="11">
        <v>76.434980999999993</v>
      </c>
      <c r="D8" s="11">
        <v>76.121071000000001</v>
      </c>
      <c r="E8" s="11">
        <v>76.514630999999994</v>
      </c>
      <c r="F8" s="11">
        <v>75.734435000000005</v>
      </c>
      <c r="G8" s="6">
        <f>MEDIAN(B8:F8)</f>
        <v>76.242069999999998</v>
      </c>
      <c r="H8" s="7">
        <f>STDEV(B8:F8)/AVERAGE(B8:F8)</f>
        <v>4.0364737016481238E-3</v>
      </c>
      <c r="I8" s="11">
        <f>Tiempos!G8/G8</f>
        <v>5.1882799745599772</v>
      </c>
      <c r="J8" s="15">
        <f>(I8/L20)</f>
        <v>0.86471332909332954</v>
      </c>
    </row>
    <row r="9" spans="1:10" x14ac:dyDescent="0.25">
      <c r="A9" s="4">
        <v>10000</v>
      </c>
      <c r="B9" s="11">
        <v>761.52626799999996</v>
      </c>
      <c r="C9" s="11">
        <v>763.62415099999998</v>
      </c>
      <c r="D9" s="11">
        <v>761.79528400000004</v>
      </c>
      <c r="E9" s="11">
        <v>764.97479599999997</v>
      </c>
      <c r="F9" s="11">
        <v>769.89785800000004</v>
      </c>
      <c r="G9" s="6">
        <f>MEDIAN(B9:F9)</f>
        <v>763.62415099999998</v>
      </c>
      <c r="H9" s="7">
        <f>STDEV(B9:F9)/AVERAGE(B9:F9)</f>
        <v>4.4459822020553224E-3</v>
      </c>
      <c r="I9" s="11">
        <f>Tiempos!G9/G9</f>
        <v>5.2128673442126381</v>
      </c>
      <c r="J9" s="15">
        <f>(I9/L20)</f>
        <v>0.86881122403543964</v>
      </c>
    </row>
    <row r="10" spans="1:10" x14ac:dyDescent="0.25">
      <c r="G10" s="10"/>
      <c r="I10" s="13">
        <f>STDEV(I7:I9)/AVERAGE(I7:I9)</f>
        <v>2.6648909812906837E-3</v>
      </c>
      <c r="J10" s="13">
        <f>STDEV(J7:J9)/AVERAGE(J7:J9)</f>
        <v>2.6648909812906595E-3</v>
      </c>
    </row>
    <row r="11" spans="1:10" x14ac:dyDescent="0.25">
      <c r="A11" s="1" t="s">
        <v>9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3" t="s">
        <v>6</v>
      </c>
      <c r="H11" s="3" t="s">
        <v>7</v>
      </c>
      <c r="I11" s="3" t="s">
        <v>11</v>
      </c>
      <c r="J11" s="3" t="s">
        <v>12</v>
      </c>
    </row>
    <row r="12" spans="1:10" x14ac:dyDescent="0.25">
      <c r="A12" s="4">
        <v>150</v>
      </c>
      <c r="B12" s="11">
        <v>9.0028129999999997</v>
      </c>
      <c r="C12" s="11">
        <v>9.0208739999999992</v>
      </c>
      <c r="D12" s="11">
        <v>9.0497029999999992</v>
      </c>
      <c r="E12" s="11">
        <v>8.9011949999999995</v>
      </c>
      <c r="F12" s="11">
        <v>8.7443159999999995</v>
      </c>
      <c r="G12" s="6">
        <f>MEDIAN(B12:F12)</f>
        <v>9.0028129999999997</v>
      </c>
      <c r="H12" s="7">
        <f>STDEV(B12:F12)/AVERAGE(B12:F12)</f>
        <v>1.3947925027750756E-2</v>
      </c>
      <c r="I12" s="11">
        <f>Tiempos!G12/G12</f>
        <v>5.4300764661000951</v>
      </c>
      <c r="J12" s="7">
        <f>(I12/L20)</f>
        <v>0.90501274435001589</v>
      </c>
    </row>
    <row r="13" spans="1:10" x14ac:dyDescent="0.25">
      <c r="A13" s="4">
        <v>1500</v>
      </c>
      <c r="B13" s="11">
        <v>90.052677000000003</v>
      </c>
      <c r="C13" s="11">
        <v>90.192873000000006</v>
      </c>
      <c r="D13" s="11">
        <v>90.250181999999995</v>
      </c>
      <c r="E13" s="11">
        <v>90.559515000000005</v>
      </c>
      <c r="F13" s="11">
        <v>91.001245999999995</v>
      </c>
      <c r="G13" s="6">
        <f>MEDIAN(B13:F13)</f>
        <v>90.250181999999995</v>
      </c>
      <c r="H13" s="7">
        <f>STDEV(B13:F13)/AVERAGE(B13:F13)</f>
        <v>4.1836275987169394E-3</v>
      </c>
      <c r="I13" s="11">
        <f>Tiempos!G13/G13</f>
        <v>5.3992536325300708</v>
      </c>
      <c r="J13" s="7">
        <f>(I13/L20)</f>
        <v>0.89987560542167844</v>
      </c>
    </row>
    <row r="14" spans="1:10" x14ac:dyDescent="0.25">
      <c r="A14" s="4">
        <v>15000</v>
      </c>
      <c r="B14" s="11">
        <v>898.48911899999996</v>
      </c>
      <c r="C14" s="11">
        <v>906.31890399999997</v>
      </c>
      <c r="D14" s="11">
        <v>906.29945199999997</v>
      </c>
      <c r="E14" s="11">
        <v>908.58046000000002</v>
      </c>
      <c r="F14" s="11">
        <v>903.03554799999995</v>
      </c>
      <c r="G14" s="6">
        <f>MEDIAN(B14:F14)</f>
        <v>906.29945199999997</v>
      </c>
      <c r="H14" s="7">
        <f>STDEV(B14:F14)/AVERAGE(B14:F14)</f>
        <v>4.3335420361899661E-3</v>
      </c>
      <c r="I14" s="11">
        <f>Tiempos!G14/G14</f>
        <v>5.4131222866501307</v>
      </c>
      <c r="J14" s="7">
        <f>(I14/L20)</f>
        <v>0.90218704777502179</v>
      </c>
    </row>
    <row r="15" spans="1:10" x14ac:dyDescent="0.25">
      <c r="I15" s="13">
        <f>STDEV(I12:I14)/AVERAGE(I12:I14)</f>
        <v>2.8512569498109551E-3</v>
      </c>
      <c r="J15" s="13">
        <f>STDEV(J12:J14)/AVERAGE(J12:J14)</f>
        <v>2.8512569498109958E-3</v>
      </c>
    </row>
    <row r="16" spans="1:10" x14ac:dyDescent="0.25">
      <c r="A16" s="1" t="s">
        <v>10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3" t="s">
        <v>6</v>
      </c>
      <c r="H16" s="3" t="s">
        <v>7</v>
      </c>
      <c r="I16" s="3" t="s">
        <v>11</v>
      </c>
      <c r="J16" s="3" t="s">
        <v>12</v>
      </c>
    </row>
    <row r="17" spans="1:12" x14ac:dyDescent="0.25">
      <c r="A17" s="4">
        <v>100</v>
      </c>
      <c r="B17" s="11">
        <v>68.381495000000001</v>
      </c>
      <c r="C17" s="11">
        <v>68.440280000000001</v>
      </c>
      <c r="D17" s="11">
        <v>68.377088000000001</v>
      </c>
      <c r="E17" s="11">
        <v>68.718110999999993</v>
      </c>
      <c r="F17" s="11">
        <v>69.078650999999994</v>
      </c>
      <c r="G17" s="6">
        <f>MEDIAN(B17:F17)</f>
        <v>68.440280000000001</v>
      </c>
      <c r="H17" s="7">
        <f>STDEV(B17:F17)/AVERAGE(B17:F17)</f>
        <v>4.4095135882159511E-3</v>
      </c>
      <c r="I17" s="11">
        <f>Tiempos!G17/G17</f>
        <v>5.4852242714378141</v>
      </c>
      <c r="J17" s="7">
        <f>(I17/L20)</f>
        <v>0.91420404523963572</v>
      </c>
    </row>
    <row r="18" spans="1:12" x14ac:dyDescent="0.25">
      <c r="A18" s="4">
        <v>1000</v>
      </c>
      <c r="B18" s="11">
        <v>685.51811799999996</v>
      </c>
      <c r="C18" s="11">
        <v>686.041652</v>
      </c>
      <c r="D18" s="11">
        <v>687.34004600000003</v>
      </c>
      <c r="E18" s="11">
        <v>687.01624100000004</v>
      </c>
      <c r="F18" s="11">
        <v>691.91134199999999</v>
      </c>
      <c r="G18" s="6">
        <f>MEDIAN(B18:F18)</f>
        <v>687.01624100000004</v>
      </c>
      <c r="H18" s="7">
        <f>STDEV(B18:F18)/AVERAGE(B18:F18)</f>
        <v>3.6903511316026026E-3</v>
      </c>
      <c r="I18" s="11">
        <f>Tiempos!G18/G18</f>
        <v>5.4005979095914851</v>
      </c>
      <c r="J18" s="7">
        <f>(I18/L20)</f>
        <v>0.90009965159858085</v>
      </c>
    </row>
    <row r="19" spans="1:12" x14ac:dyDescent="0.25">
      <c r="A19" s="4">
        <v>10000</v>
      </c>
      <c r="B19" s="11">
        <v>6858.3750280000004</v>
      </c>
      <c r="C19" s="11">
        <v>6868.6352930000003</v>
      </c>
      <c r="D19" s="11">
        <v>6859.5715190000001</v>
      </c>
      <c r="E19" s="11">
        <v>6878.3278559999999</v>
      </c>
      <c r="F19" s="11">
        <v>6929.9268259999999</v>
      </c>
      <c r="G19" s="6">
        <f>MEDIAN(B19:F19)</f>
        <v>6868.6352930000003</v>
      </c>
      <c r="H19" s="7">
        <f>STDEV(B19:F19)/AVERAGE(B19:F19)</f>
        <v>4.3027446424435054E-3</v>
      </c>
      <c r="I19" s="11">
        <f>Tiempos!G19/G19</f>
        <v>5.4637700696157774</v>
      </c>
      <c r="J19" s="7">
        <f>(I19/L20)</f>
        <v>0.9106283449359629</v>
      </c>
    </row>
    <row r="20" spans="1:12" x14ac:dyDescent="0.25">
      <c r="I20" s="13">
        <f>STDEV(I17:I19)/AVERAGE(I17:I19)</f>
        <v>8.0724231167200299E-3</v>
      </c>
      <c r="J20" s="13">
        <f>STDEV(J17:J19)/AVERAGE(J17:J19)</f>
        <v>8.0724231167200455E-3</v>
      </c>
      <c r="K20" s="3" t="s">
        <v>13</v>
      </c>
      <c r="L20">
        <f>6</f>
        <v>6</v>
      </c>
    </row>
  </sheetData>
  <conditionalFormatting sqref="H2:H4">
    <cfRule type="cellIs" dxfId="5" priority="2" operator="greaterThan">
      <formula>0.1</formula>
    </cfRule>
  </conditionalFormatting>
  <conditionalFormatting sqref="H7:H10 H12:H15">
    <cfRule type="cellIs" dxfId="4" priority="3" operator="greaterThan">
      <formula>0.1</formula>
    </cfRule>
  </conditionalFormatting>
  <conditionalFormatting sqref="H17:H19">
    <cfRule type="cellIs" dxfId="3" priority="4" operator="greaterThan">
      <formula>0.1</formula>
    </cfRule>
  </conditionalFormatting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zoomScaleNormal="100" workbookViewId="0">
      <selection activeCell="F19" sqref="F19"/>
    </sheetView>
  </sheetViews>
  <sheetFormatPr baseColWidth="10" defaultColWidth="9.140625" defaultRowHeight="15" x14ac:dyDescent="0.25"/>
  <cols>
    <col min="1" max="1" width="11.5703125" customWidth="1"/>
    <col min="2" max="8" width="13.28515625" customWidth="1"/>
    <col min="9" max="9" width="16.42578125" customWidth="1"/>
    <col min="10" max="10" width="12.855468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11</v>
      </c>
      <c r="J1" s="3" t="s">
        <v>12</v>
      </c>
    </row>
    <row r="2" spans="1:10" x14ac:dyDescent="0.25">
      <c r="A2" s="4">
        <v>5</v>
      </c>
      <c r="B2" s="11">
        <v>0.91510999999999998</v>
      </c>
      <c r="C2" s="11">
        <v>0.962754</v>
      </c>
      <c r="D2" s="11">
        <v>0.90947</v>
      </c>
      <c r="E2" s="11">
        <v>0.96284199999999998</v>
      </c>
      <c r="F2" s="11">
        <v>0.91941899999999999</v>
      </c>
      <c r="G2" s="6">
        <f>MEDIAN(B2:F2)</f>
        <v>0.91941899999999999</v>
      </c>
      <c r="H2" s="7">
        <f>STDEV(B2:F2)/AVERAGE(B2:F2)</f>
        <v>2.8479808920801805E-2</v>
      </c>
      <c r="I2" s="11">
        <f>Tiempos!G2/G2</f>
        <v>3.0890181734334399</v>
      </c>
      <c r="J2" s="7">
        <f>(I2/L20)</f>
        <v>0.51483636223890661</v>
      </c>
    </row>
    <row r="3" spans="1:10" x14ac:dyDescent="0.25">
      <c r="A3" s="4">
        <v>50</v>
      </c>
      <c r="B3" s="11">
        <v>9.0499100000000006</v>
      </c>
      <c r="C3" s="11">
        <v>9.3506540000000005</v>
      </c>
      <c r="D3" s="11">
        <v>9.0428829999999998</v>
      </c>
      <c r="E3" s="11">
        <v>9.3335299999999997</v>
      </c>
      <c r="F3" s="11">
        <v>8.8375029999999999</v>
      </c>
      <c r="G3" s="6">
        <f>MEDIAN(B3:F3)</f>
        <v>9.0499100000000006</v>
      </c>
      <c r="H3" s="7">
        <f>STDEV(B3:F3)/AVERAGE(B3:F3)</f>
        <v>2.385330598928195E-2</v>
      </c>
      <c r="I3" s="11">
        <f>Tiempos!G3/G3</f>
        <v>3.1081363240076421</v>
      </c>
      <c r="J3" s="7">
        <f>(I3/L20)</f>
        <v>0.51802272066794031</v>
      </c>
    </row>
    <row r="4" spans="1:10" x14ac:dyDescent="0.25">
      <c r="A4" s="4">
        <v>100</v>
      </c>
      <c r="B4" s="11">
        <v>17.959783000000002</v>
      </c>
      <c r="C4" s="11">
        <v>18.644628999999998</v>
      </c>
      <c r="D4" s="11">
        <v>18.085998</v>
      </c>
      <c r="E4" s="11">
        <v>18.616897999999999</v>
      </c>
      <c r="F4" s="11">
        <v>18.092821000000001</v>
      </c>
      <c r="G4" s="6">
        <f>MEDIAN(B4:F4)</f>
        <v>18.092821000000001</v>
      </c>
      <c r="H4" s="7">
        <f>STDEV(B4:F4)/AVERAGE(B4:F4)</f>
        <v>1.7761417368320927E-2</v>
      </c>
      <c r="I4" s="11">
        <f>Tiempos!G4/G4</f>
        <v>3.1097172740502987</v>
      </c>
      <c r="J4" s="7">
        <f>(I4/L20)</f>
        <v>0.51828621234171646</v>
      </c>
    </row>
    <row r="5" spans="1:10" x14ac:dyDescent="0.25">
      <c r="B5" s="8"/>
      <c r="I5" s="13">
        <f>STDEV(I2:I4)/AVERAGE(I2:I4)</f>
        <v>3.7138362646343443E-3</v>
      </c>
      <c r="J5" s="13">
        <f>STDEV(J2:J4)/AVERAGE(J2:J4)</f>
        <v>3.7138362646343677E-3</v>
      </c>
    </row>
    <row r="6" spans="1:10" x14ac:dyDescent="0.25">
      <c r="A6" s="1" t="s">
        <v>8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3" t="s">
        <v>6</v>
      </c>
      <c r="H6" s="3" t="s">
        <v>7</v>
      </c>
      <c r="I6" s="3" t="s">
        <v>11</v>
      </c>
      <c r="J6" s="3" t="s">
        <v>12</v>
      </c>
    </row>
    <row r="7" spans="1:10" x14ac:dyDescent="0.25">
      <c r="A7" s="4">
        <v>100</v>
      </c>
      <c r="B7" s="11">
        <v>12.731147999999999</v>
      </c>
      <c r="C7" s="11">
        <v>13.130065999999999</v>
      </c>
      <c r="D7" s="11">
        <v>12.700843000000001</v>
      </c>
      <c r="E7" s="11">
        <v>13.093442</v>
      </c>
      <c r="F7" s="11">
        <v>12.723383</v>
      </c>
      <c r="G7" s="6">
        <f>MEDIAN(B7:F7)</f>
        <v>12.731147999999999</v>
      </c>
      <c r="H7" s="7">
        <f>STDEV(B7:F7)/AVERAGE(B7:F7)</f>
        <v>1.6782891959111847E-2</v>
      </c>
      <c r="I7" s="11">
        <f>Tiempos!G7/G7</f>
        <v>3.1070578238506066</v>
      </c>
      <c r="J7" s="15">
        <f>(I7/L20)</f>
        <v>0.51784297064176776</v>
      </c>
    </row>
    <row r="8" spans="1:10" x14ac:dyDescent="0.25">
      <c r="A8" s="4">
        <v>1000</v>
      </c>
      <c r="B8" s="11">
        <v>129.86207999999999</v>
      </c>
      <c r="C8" s="11">
        <v>129.945956</v>
      </c>
      <c r="D8" s="11">
        <v>130.08611400000001</v>
      </c>
      <c r="E8" s="11">
        <v>127.058593</v>
      </c>
      <c r="F8" s="11">
        <v>126.923243</v>
      </c>
      <c r="G8" s="6">
        <f>MEDIAN(B8:F8)</f>
        <v>129.86207999999999</v>
      </c>
      <c r="H8" s="7">
        <f>STDEV(B8:F8)/AVERAGE(B8:F8)</f>
        <v>1.266923939846171E-2</v>
      </c>
      <c r="I8" s="11">
        <f>Tiempos!G8/G8</f>
        <v>3.0460408842981725</v>
      </c>
      <c r="J8" s="15">
        <f>(I8/L20)</f>
        <v>0.50767348071636209</v>
      </c>
    </row>
    <row r="9" spans="1:10" x14ac:dyDescent="0.25">
      <c r="A9" s="4">
        <v>10000</v>
      </c>
      <c r="B9" s="11">
        <v>1257.4495019999999</v>
      </c>
      <c r="C9" s="11">
        <v>1271.5477820000001</v>
      </c>
      <c r="D9" s="11">
        <v>1257.3973840000001</v>
      </c>
      <c r="E9" s="11">
        <v>1273.6829</v>
      </c>
      <c r="F9" s="11">
        <v>1302.3472509999999</v>
      </c>
      <c r="G9" s="6">
        <f>MEDIAN(B9:F9)</f>
        <v>1271.5477820000001</v>
      </c>
      <c r="H9" s="7">
        <f>STDEV(B9:F9)/AVERAGE(B9:F9)</f>
        <v>1.442531132278814E-2</v>
      </c>
      <c r="I9" s="11">
        <f>Tiempos!G9/G9</f>
        <v>3.1305716201548135</v>
      </c>
      <c r="J9" s="15">
        <f>(I9/L20)</f>
        <v>0.52176193669246895</v>
      </c>
    </row>
    <row r="10" spans="1:10" x14ac:dyDescent="0.25">
      <c r="G10" s="10"/>
      <c r="I10" s="13">
        <f>STDEV(I7:I9)/AVERAGE(I7:I9)</f>
        <v>1.4098918382976269E-2</v>
      </c>
      <c r="J10" s="13">
        <f>STDEV(J7:J9)/AVERAGE(J7:J9)</f>
        <v>1.40989183829763E-2</v>
      </c>
    </row>
    <row r="11" spans="1:10" x14ac:dyDescent="0.25">
      <c r="A11" s="1" t="s">
        <v>9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3" t="s">
        <v>6</v>
      </c>
      <c r="H11" s="3" t="s">
        <v>7</v>
      </c>
      <c r="I11" s="3" t="s">
        <v>11</v>
      </c>
      <c r="J11" s="3" t="s">
        <v>12</v>
      </c>
    </row>
    <row r="12" spans="1:10" x14ac:dyDescent="0.25">
      <c r="A12" s="4">
        <v>150</v>
      </c>
      <c r="B12" s="11">
        <v>15.122805</v>
      </c>
      <c r="C12" s="11">
        <v>15.860557</v>
      </c>
      <c r="D12" s="11">
        <v>15.427642000000001</v>
      </c>
      <c r="E12" s="11">
        <v>15.854122</v>
      </c>
      <c r="F12" s="11">
        <v>15.4894</v>
      </c>
      <c r="G12" s="6">
        <f>MEDIAN(B12:F12)</f>
        <v>15.4894</v>
      </c>
      <c r="H12" s="7">
        <f>STDEV(B12:F12)/AVERAGE(B12:F12)</f>
        <v>2.0081042122983495E-2</v>
      </c>
      <c r="I12" s="11">
        <f>Tiempos!G12/G12</f>
        <v>3.1560914560925535</v>
      </c>
      <c r="J12" s="7">
        <f>(I12/L20)</f>
        <v>0.52601524268209221</v>
      </c>
    </row>
    <row r="13" spans="1:10" x14ac:dyDescent="0.25">
      <c r="A13" s="4">
        <v>1500</v>
      </c>
      <c r="B13" s="11">
        <v>153.14812800000001</v>
      </c>
      <c r="C13" s="11">
        <v>159.435665</v>
      </c>
      <c r="D13" s="11">
        <v>155.209609</v>
      </c>
      <c r="E13" s="11">
        <v>159.133399</v>
      </c>
      <c r="F13" s="11">
        <v>155.05121399999999</v>
      </c>
      <c r="G13" s="6">
        <f>MEDIAN(B13:F13)</f>
        <v>155.209609</v>
      </c>
      <c r="H13" s="7">
        <f>STDEV(B13:F13)/AVERAGE(B13:F13)</f>
        <v>1.7655418730765905E-2</v>
      </c>
      <c r="I13" s="11">
        <f>Tiempos!G13/G13</f>
        <v>3.1395196865678594</v>
      </c>
      <c r="J13" s="7">
        <f>(I13/L20)</f>
        <v>0.5232532810946432</v>
      </c>
    </row>
    <row r="14" spans="1:10" x14ac:dyDescent="0.25">
      <c r="A14" s="4">
        <v>15000</v>
      </c>
      <c r="B14" s="11">
        <v>1575.8619779999999</v>
      </c>
      <c r="C14" s="11">
        <v>1593.4988920000001</v>
      </c>
      <c r="D14" s="11">
        <v>1559.7301070000001</v>
      </c>
      <c r="E14" s="11">
        <v>1590.98081</v>
      </c>
      <c r="F14" s="11">
        <v>1557.53466</v>
      </c>
      <c r="G14" s="6">
        <f>MEDIAN(B14:F14)</f>
        <v>1575.8619779999999</v>
      </c>
      <c r="H14" s="7">
        <f>STDEV(B14:F14)/AVERAGE(B14:F14)</f>
        <v>1.0692505788290256E-2</v>
      </c>
      <c r="I14" s="11">
        <f>Tiempos!G14/G14</f>
        <v>3.1131595472760374</v>
      </c>
      <c r="J14" s="7">
        <f>(I14/L20)</f>
        <v>0.51885992454600627</v>
      </c>
    </row>
    <row r="15" spans="1:10" x14ac:dyDescent="0.25">
      <c r="I15" s="13">
        <f>STDEV(I12:I14)/AVERAGE(I12:I14)</f>
        <v>6.9034946479286071E-3</v>
      </c>
      <c r="J15" s="13">
        <f>STDEV(J12:J14)/AVERAGE(J12:J14)</f>
        <v>6.9034946479285316E-3</v>
      </c>
    </row>
    <row r="16" spans="1:10" x14ac:dyDescent="0.25">
      <c r="A16" s="1" t="s">
        <v>10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3" t="s">
        <v>6</v>
      </c>
      <c r="H16" s="3" t="s">
        <v>7</v>
      </c>
      <c r="I16" s="3" t="s">
        <v>11</v>
      </c>
      <c r="J16" s="3" t="s">
        <v>12</v>
      </c>
    </row>
    <row r="17" spans="1:12" x14ac:dyDescent="0.25">
      <c r="A17" s="4">
        <v>100</v>
      </c>
      <c r="B17" s="11">
        <v>107.887371</v>
      </c>
      <c r="C17" s="11">
        <v>111.71477400000001</v>
      </c>
      <c r="D17" s="11">
        <v>106.571984</v>
      </c>
      <c r="E17" s="11">
        <v>111.89852999999999</v>
      </c>
      <c r="F17" s="11">
        <v>108.78782099999999</v>
      </c>
      <c r="G17" s="6">
        <f>MEDIAN(B17:F17)</f>
        <v>108.78782099999999</v>
      </c>
      <c r="H17" s="7">
        <f>STDEV(B17:F17)/AVERAGE(B17:F17)</f>
        <v>2.1567554158128575E-2</v>
      </c>
      <c r="I17" s="11">
        <f>Tiempos!G17/G17</f>
        <v>3.4508484640022341</v>
      </c>
      <c r="J17" s="7">
        <f>(I17/L20)</f>
        <v>0.57514141066703905</v>
      </c>
    </row>
    <row r="18" spans="1:12" x14ac:dyDescent="0.25">
      <c r="A18" s="4">
        <v>1000</v>
      </c>
      <c r="B18" s="11">
        <v>1071.3575330000001</v>
      </c>
      <c r="C18" s="11">
        <v>1095.972113</v>
      </c>
      <c r="D18" s="11">
        <v>1083.8523749999999</v>
      </c>
      <c r="E18" s="11">
        <v>1115.2472399999999</v>
      </c>
      <c r="F18" s="11">
        <v>1094.890719</v>
      </c>
      <c r="G18" s="6">
        <f>MEDIAN(B18:F18)</f>
        <v>1094.890719</v>
      </c>
      <c r="H18" s="7">
        <f>STDEV(B18:F18)/AVERAGE(B18:F18)</f>
        <v>1.4880629237743682E-2</v>
      </c>
      <c r="I18" s="11">
        <f>Tiempos!G18/G18</f>
        <v>3.3887386299052191</v>
      </c>
      <c r="J18" s="7">
        <f>(I18/L20)</f>
        <v>0.56478977165086985</v>
      </c>
    </row>
    <row r="19" spans="1:12" x14ac:dyDescent="0.25">
      <c r="A19" s="4">
        <v>10000</v>
      </c>
      <c r="B19" s="11">
        <v>10670.795808000001</v>
      </c>
      <c r="C19" s="11">
        <v>11092.388838000001</v>
      </c>
      <c r="D19" s="11">
        <v>10891.910537</v>
      </c>
      <c r="E19" s="11">
        <v>10938.07465</v>
      </c>
      <c r="F19" s="11">
        <v>11177.798342</v>
      </c>
      <c r="G19" s="6">
        <f>MEDIAN(B19:F19)</f>
        <v>10938.07465</v>
      </c>
      <c r="H19" s="7">
        <f>STDEV(B19:F19)/AVERAGE(B19:F19)</f>
        <v>1.7886070753712645E-2</v>
      </c>
      <c r="I19" s="11">
        <f>Tiempos!G19/G19</f>
        <v>3.431010039138835</v>
      </c>
      <c r="J19" s="7">
        <f>(I19/L20)</f>
        <v>0.57183500652313912</v>
      </c>
    </row>
    <row r="20" spans="1:12" x14ac:dyDescent="0.25">
      <c r="I20" s="13">
        <f>STDEV(I17:I19)/AVERAGE(I17:I19)</f>
        <v>9.2661406046157923E-3</v>
      </c>
      <c r="J20" s="13">
        <f>STDEV(J17:J19)/AVERAGE(J17:J19)</f>
        <v>9.2661406046158114E-3</v>
      </c>
      <c r="K20" s="3" t="s">
        <v>13</v>
      </c>
      <c r="L20">
        <f>6</f>
        <v>6</v>
      </c>
    </row>
  </sheetData>
  <conditionalFormatting sqref="H2:H4">
    <cfRule type="cellIs" dxfId="2" priority="2" operator="greaterThan">
      <formula>0.1</formula>
    </cfRule>
  </conditionalFormatting>
  <conditionalFormatting sqref="H7:H10 H12:H15">
    <cfRule type="cellIs" dxfId="1" priority="3" operator="greaterThan">
      <formula>0.1</formula>
    </cfRule>
  </conditionalFormatting>
  <conditionalFormatting sqref="H17:H19">
    <cfRule type="cellIs" dxfId="0" priority="4" operator="greaterThan">
      <formula>0.1</formula>
    </cfRule>
  </conditionalFormatting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Tiempos</vt:lpstr>
      <vt:lpstr>paralelismo_grueso_6_cores</vt:lpstr>
      <vt:lpstr>paralelismo_fino_6_cores</vt:lpstr>
      <vt:lpstr>vectorizacion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Ángel Vega Rodríguez</dc:creator>
  <dc:description/>
  <cp:lastModifiedBy>Sergio-ARCO</cp:lastModifiedBy>
  <cp:revision>160</cp:revision>
  <dcterms:created xsi:type="dcterms:W3CDTF">2018-11-09T13:12:29Z</dcterms:created>
  <dcterms:modified xsi:type="dcterms:W3CDTF">2025-04-24T09:22:52Z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